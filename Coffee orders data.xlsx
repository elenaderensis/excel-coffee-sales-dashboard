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univpr-my.sharepoint.com/personal/elena_derensis_studenti_unipr_it/Documents/Desktop/Elena/Data Analysis/Excel Projects/"/>
    </mc:Choice>
  </mc:AlternateContent>
  <xr:revisionPtr revIDLastSave="439" documentId="8_{C26E5431-D9B6-4ED8-B741-130A3259986C}" xr6:coauthVersionLast="47" xr6:coauthVersionMax="47" xr10:uidLastSave="{873DE16A-8114-4EAD-A3B7-CB3746453F39}"/>
  <bookViews>
    <workbookView minimized="1" showSheetTabs="0" xWindow="2985" yWindow="300" windowWidth="11940" windowHeight="10620" xr2:uid="{00000000-000D-0000-FFFF-FFFF00000000}"/>
  </bookViews>
  <sheets>
    <sheet name="Dashboard" sheetId="22" r:id="rId1"/>
    <sheet name="Total sales" sheetId="18" r:id="rId2"/>
    <sheet name="Country barchart" sheetId="19"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365" i="17"/>
  <c r="M383" i="17"/>
  <c r="M399" i="17"/>
  <c r="M415" i="17"/>
  <c r="M431" i="17"/>
  <c r="M447" i="17"/>
  <c r="M463" i="17"/>
  <c r="M479" i="17"/>
  <c r="M495" i="17"/>
  <c r="M511" i="17"/>
  <c r="M527" i="17"/>
  <c r="M543" i="17"/>
  <c r="M559" i="17"/>
  <c r="M575" i="17"/>
  <c r="M591" i="17"/>
  <c r="M607" i="17"/>
  <c r="M623" i="17"/>
  <c r="M639" i="17"/>
  <c r="M655" i="17"/>
  <c r="M671" i="17"/>
  <c r="M687" i="17"/>
  <c r="M703" i="17"/>
  <c r="M719" i="17"/>
  <c r="M735" i="17"/>
  <c r="M751" i="17"/>
  <c r="M767" i="17"/>
  <c r="M783" i="17"/>
  <c r="M799" i="17"/>
  <c r="M815" i="17"/>
  <c r="M831" i="17"/>
  <c r="M847" i="17"/>
  <c r="M863" i="17"/>
  <c r="M879" i="17"/>
  <c r="M895" i="17"/>
  <c r="M911" i="17"/>
  <c r="M927" i="17"/>
  <c r="M943" i="17"/>
  <c r="M959" i="17"/>
  <c r="M975" i="17"/>
  <c r="M99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<sst xmlns="http://schemas.openxmlformats.org/spreadsheetml/2006/main" count="11128" uniqueCount="6221">
  <si>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</si>
  <si>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</si>
  <si>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</si>
  <si>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</si>
  <si>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</si>
  <si>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</si>
  <si>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</si>
  <si>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</si>
  <si>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</si>
  <si>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</si>
  <si>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</si>
  <si>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</si>
  <si>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</si>
  <si>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</si>
  <si>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</si>
  <si>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</si>
  <si>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</si>
  <si>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</si>
  <si>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</si>
  <si>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</si>
  <si>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</si>
  <si>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</si>
  <si>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</si>
  <si>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</si>
  <si>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</si>
  <si>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</si>
  <si>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</si>
  <si>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</si>
  <si>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</si>
  <si>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</si>
  <si>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</si>
  <si>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</si>
  <si>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</si>
  <si>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</si>
  <si>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</si>
  <si>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</si>
  <si>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</si>
  <si>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</si>
  <si>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</si>
  <si>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</si>
  <si>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</si>
  <si>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</si>
  <si>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</si>
  <si>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</si>
  <si>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</si>
  <si>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</si>
  <si>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</si>
  <si>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</si>
  <si>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</si>
  <si>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</si>
  <si>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</si>
  <si>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</si>
  <si>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</si>
  <si>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</si>
  <si>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</si>
  <si>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</si>
  <si>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</si>
  <si>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</si>
  <si>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</si>
  <si>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</si>
  <si>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</si>
  <si>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</si>
  <si>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</si>
  <si>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</si>
  <si>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</si>
  <si>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</si>
  <si>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</si>
  <si>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</si>
  <si>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</si>
  <si>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</si>
  <si>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</si>
  <si>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</si>
  <si>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</si>
  <si>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</si>
  <si>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</si>
  <si>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</si>
  <si>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</si>
  <si>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</si>
  <si>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</si>
  <si>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</si>
  <si>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</si>
  <si>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</si>
  <si>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</si>
  <si>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</si>
  <si>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</si>
  <si>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</si>
  <si>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</si>
  <si>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</si>
  <si>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</si>
  <si>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</si>
  <si>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</si>
  <si>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</si>
  <si>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</si>
  <si>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</si>
  <si>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</si>
  <si>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</si>
  <si>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</si>
  <si>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</si>
  <si>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</si>
  <si>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</si>
  <si>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</si>
  <si>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</si>
  <si>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</si>
  <si>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</si>
  <si>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</si>
  <si>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</si>
  <si>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</si>
  <si>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</si>
  <si>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</si>
  <si>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</si>
  <si>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</si>
  <si>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</si>
  <si>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</si>
  <si>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</si>
  <si>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</si>
  <si>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</si>
  <si>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</si>
  <si>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</si>
  <si>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</si>
  <si>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</si>
  <si>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</si>
  <si>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</si>
  <si>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</si>
  <si>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</si>
  <si>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</si>
  <si>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</si>
  <si>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</si>
  <si>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</si>
  <si>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</si>
  <si>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</si>
  <si>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</si>
  <si>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</si>
  <si>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</si>
  <si>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</si>
  <si>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</si>
  <si>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</si>
  <si>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</si>
  <si>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</si>
  <si>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</si>
  <si>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</si>
  <si>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</si>
  <si>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</si>
  <si>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</si>
  <si>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</si>
  <si>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</si>
  <si>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</si>
  <si>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</si>
  <si>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</si>
  <si>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</si>
  <si>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</si>
  <si>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</si>
  <si>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</si>
  <si>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</si>
  <si>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</si>
  <si>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</si>
  <si>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</si>
  <si>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</si>
  <si>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</si>
  <si>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</si>
  <si>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</si>
  <si>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</si>
  <si>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</si>
  <si>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</si>
  <si>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</si>
  <si>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</si>
  <si>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</si>
  <si>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</si>
  <si>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</si>
  <si>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</si>
  <si>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</si>
  <si>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</si>
  <si>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</si>
  <si>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</si>
  <si>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</si>
  <si>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</si>
  <si>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</si>
  <si>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</si>
  <si>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</si>
  <si>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</si>
  <si>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</si>
  <si>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</si>
  <si>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</si>
  <si>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</si>
  <si>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</si>
  <si>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</si>
  <si>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</si>
  <si>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</si>
  <si>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</si>
  <si>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</si>
  <si>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</si>
  <si>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</si>
  <si>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</si>
  <si>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</si>
  <si>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</si>
  <si>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</si>
  <si>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</si>
  <si>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</si>
  <si>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</si>
  <si>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</si>
  <si>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</si>
  <si>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</si>
  <si>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</si>
  <si>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</si>
  <si>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</si>
  <si>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</si>
  <si>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</si>
  <si>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</si>
  <si>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</si>
  <si>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</si>
  <si>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</si>
  <si>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</si>
  <si>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</si>
  <si>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</si>
  <si>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</si>
  <si>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</si>
  <si>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</si>
  <si>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</si>
  <si>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</si>
  <si>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</si>
  <si>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</si>
  <si>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</si>
  <si>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</si>
  <si>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</si>
  <si>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</si>
  <si>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</si>
  <si>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</si>
  <si>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</si>
  <si>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</si>
  <si>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</si>
  <si>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</si>
  <si>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</si>
  <si>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</si>
  <si>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</si>
  <si>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</si>
  <si>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</si>
  <si>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</si>
  <si>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</si>
  <si>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</si>
  <si>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</si>
  <si>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</si>
  <si>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</si>
  <si>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</si>
  <si>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</si>
  <si>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</si>
  <si>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</si>
  <si>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</si>
  <si>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</si>
  <si>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</si>
  <si>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</si>
  <si>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</si>
  <si>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</si>
  <si>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</si>
  <si>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</si>
  <si>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</si>
  <si>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</si>
  <si>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</si>
  <si>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</si>
  <si>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</si>
  <si>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</si>
  <si>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</si>
  <si>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</si>
  <si>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</si>
  <si>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</si>
  <si>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</si>
  <si>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</si>
  <si>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</si>
  <si>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</si>
  <si>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</si>
  <si>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</si>
  <si>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</si>
  <si>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</si>
  <si>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</si>
  <si>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</si>
  <si>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</si>
  <si>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</si>
  <si>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</si>
  <si>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</si>
  <si>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</si>
  <si>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</si>
  <si>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</si>
  <si>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</si>
  <si>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</si>
  <si>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</si>
  <si>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</si>
  <si>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</si>
  <si>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</si>
  <si>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</si>
  <si>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</si>
  <si>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</si>
  <si>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</si>
  <si>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</si>
  <si>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</si>
  <si>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</si>
  <si>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</si>
  <si>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</si>
  <si>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</si>
  <si>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</si>
  <si>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</si>
  <si>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</si>
  <si>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</si>
  <si>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</si>
  <si>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</si>
  <si>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</si>
  <si>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</si>
  <si>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</si>
  <si>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</si>
  <si>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</si>
  <si>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</si>
  <si>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</si>
  <si>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</si>
  <si>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</si>
  <si>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</si>
  <si>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</si>
  <si>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</si>
  <si>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</si>
  <si>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</si>
  <si>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</si>
  <si>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</si>
  <si>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</si>
  <si>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</si>
  <si>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</si>
  <si>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</si>
  <si>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</si>
  <si>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</si>
  <si>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</si>
  <si>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</si>
  <si>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</si>
  <si>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</si>
  <si>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</si>
  <si>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</si>
  <si>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</si>
  <si>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</si>
  <si>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</si>
  <si>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</si>
  <si>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</si>
  <si>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</si>
  <si>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</si>
  <si>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</si>
  <si>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</si>
  <si>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</si>
  <si>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</si>
  <si>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</si>
  <si>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</si>
  <si>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</si>
  <si>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</si>
  <si>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</si>
  <si>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</si>
  <si>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</si>
  <si>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</si>
  <si>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</si>
  <si>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</si>
  <si>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</si>
  <si>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</si>
  <si>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</si>
  <si>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</si>
  <si>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</si>
  <si>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</si>
  <si>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</si>
  <si>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</si>
  <si>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</si>
  <si>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</si>
  <si>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</si>
  <si>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</si>
  <si>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</si>
  <si>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</si>
  <si>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</si>
  <si>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</si>
  <si>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</si>
  <si>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</si>
  <si>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</si>
  <si>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</si>
  <si>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</si>
  <si>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</si>
  <si>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</si>
  <si>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</si>
  <si>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</si>
  <si>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</si>
  <si>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</si>
  <si>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</si>
  <si>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</si>
  <si>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</si>
  <si>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</si>
  <si>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</si>
  <si>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</si>
  <si>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</si>
  <si>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</si>
  <si>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</si>
  <si>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</si>
  <si>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</si>
  <si>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</si>
  <si>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</si>
  <si>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</si>
  <si>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</si>
  <si>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</si>
  <si>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</si>
  <si>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</si>
  <si>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</si>
  <si>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</si>
  <si>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</si>
  <si>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</si>
  <si>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</si>
  <si>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</si>
  <si>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</si>
  <si>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</si>
  <si>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</si>
  <si>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</si>
  <si>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</si>
  <si>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</si>
  <si>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</si>
  <si>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</si>
  <si>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</si>
  <si>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</si>
  <si>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</si>
  <si>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</si>
  <si>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</si>
  <si>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</si>
  <si>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</si>
  <si>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</si>
  <si>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</si>
  <si>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</si>
  <si>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</si>
  <si>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</si>
  <si>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</si>
  <si>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</si>
  <si>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</si>
  <si>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</si>
  <si>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</si>
  <si>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</si>
  <si>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</si>
  <si>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</si>
  <si>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</si>
  <si>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</si>
  <si>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</si>
  <si>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</si>
  <si>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</si>
  <si>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</si>
  <si>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</si>
  <si>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</si>
  <si>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</si>
  <si>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</si>
  <si>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</si>
  <si>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</si>
  <si>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</si>
  <si>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</si>
  <si>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</si>
  <si>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</si>
  <si>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</si>
  <si>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</si>
  <si>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</si>
  <si>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</si>
  <si>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</si>
  <si>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</si>
  <si>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</si>
  <si>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</si>
  <si>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</si>
  <si>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</si>
  <si>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</si>
  <si>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</si>
  <si>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</si>
  <si>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</si>
  <si>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</si>
  <si>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</si>
  <si>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</si>
  <si>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</si>
  <si>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</si>
  <si>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</si>
  <si>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</si>
  <si>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</si>
  <si>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</si>
  <si>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</si>
  <si>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</si>
  <si>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</si>
  <si>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</si>
  <si>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</si>
  <si>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</si>
  <si>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</si>
  <si>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</si>
  <si>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</si>
  <si>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</si>
  <si>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</si>
  <si>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</si>
  <si>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</si>
  <si>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</si>
  <si>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</si>
  <si>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</si>
  <si>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</si>
  <si>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</si>
  <si>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</si>
  <si>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</si>
  <si>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</si>
  <si>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</si>
  <si>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</si>
  <si>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</si>
  <si>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</si>
  <si>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</si>
  <si>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</si>
  <si>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</si>
  <si>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</si>
  <si>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</si>
  <si>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</si>
  <si>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</si>
  <si>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</si>
  <si>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</si>
  <si>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</si>
  <si>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</si>
  <si>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</si>
  <si>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</si>
  <si>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</si>
  <si>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</si>
  <si>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</si>
  <si>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</si>
  <si>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</si>
  <si>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</si>
  <si>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</si>
  <si>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</si>
  <si>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</si>
  <si>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</si>
  <si>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</si>
  <si>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</si>
  <si>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</si>
  <si>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</si>
  <si>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</si>
  <si>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</si>
  <si>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</si>
  <si>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</si>
  <si>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</si>
  <si>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</si>
  <si>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</si>
  <si>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</si>
  <si>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</si>
  <si>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</si>
  <si>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</si>
  <si>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</si>
  <si>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</si>
  <si>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</si>
  <si>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</si>
  <si>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</si>
  <si>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</si>
  <si>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</si>
  <si>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</si>
  <si>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</si>
  <si>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</si>
  <si>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</si>
  <si>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</si>
  <si>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</si>
  <si>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</si>
  <si>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</si>
  <si>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</si>
  <si>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</si>
  <si>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</si>
  <si>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</si>
  <si>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</si>
  <si>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</si>
  <si>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</si>
  <si>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</si>
  <si>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</si>
  <si>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</si>
  <si>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</si>
  <si>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</si>
  <si>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</si>
  <si>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</si>
  <si>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</si>
  <si>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</si>
  <si>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</si>
  <si>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</si>
  <si>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</si>
  <si>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</si>
  <si>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</si>
  <si>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</si>
  <si>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</si>
  <si>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</si>
  <si>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</si>
  <si>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</si>
  <si>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</si>
  <si>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</si>
  <si>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</si>
  <si>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</si>
  <si>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</si>
  <si>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</si>
  <si>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</si>
  <si>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</si>
  <si>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</si>
  <si>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</si>
  <si>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</si>
  <si>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</si>
  <si>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</si>
  <si>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</si>
  <si>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</si>
  <si>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</si>
  <si>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</si>
  <si>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</si>
  <si>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</si>
  <si>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</si>
  <si>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</si>
  <si>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</si>
  <si>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</si>
  <si>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</si>
  <si>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</si>
  <si>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</si>
  <si>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</si>
  <si>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</si>
  <si>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</si>
  <si>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</si>
  <si>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</si>
  <si>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</si>
  <si>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</si>
  <si>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</si>
  <si>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</si>
  <si>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</si>
  <si>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</si>
  <si>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</si>
  <si>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</si>
  <si>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</si>
  <si>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</si>
  <si>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</si>
  <si>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</si>
  <si>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</si>
  <si>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</si>
  <si>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</si>
  <si>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</si>
  <si>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</si>
  <si>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</si>
  <si>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</si>
  <si>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</si>
  <si>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</si>
  <si>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</si>
  <si>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</si>
  <si>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</si>
  <si>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</si>
  <si>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</si>
  <si>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</si>
  <si>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</si>
  <si>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</si>
  <si>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</si>
  <si>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</si>
  <si>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</si>
  <si>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</si>
  <si>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</si>
  <si>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</si>
  <si>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</si>
  <si>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</si>
  <si>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</si>
  <si>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</si>
  <si>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</si>
  <si>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</si>
  <si>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</si>
  <si>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</si>
  <si>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</si>
  <si>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</si>
  <si>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</si>
  <si>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</si>
  <si>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</si>
  <si>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</si>
  <si>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</si>
  <si>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</si>
  <si>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</si>
  <si>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</si>
  <si>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</si>
  <si>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</si>
  <si>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</si>
  <si>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</si>
  <si>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</si>
  <si>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</si>
  <si>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</si>
  <si>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</si>
  <si>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</si>
  <si>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</si>
  <si>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</si>
  <si>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</si>
  <si>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</si>
  <si>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</si>
  <si>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</si>
  <si>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</si>
  <si>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</si>
  <si>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</si>
  <si>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</si>
  <si>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</si>
  <si>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</si>
  <si>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</si>
  <si>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</si>
  <si>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</si>
  <si>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</si>
  <si>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</si>
  <si>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</si>
  <si>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</si>
  <si>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</si>
  <si>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</si>
  <si>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</si>
  <si>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</si>
  <si>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</si>
  <si>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</si>
  <si>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</si>
  <si>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</si>
  <si>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</si>
  <si>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</si>
  <si>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</si>
  <si>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</si>
  <si>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</si>
  <si>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</si>
  <si>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</si>
  <si>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</si>
  <si>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</si>
  <si>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</si>
  <si>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</si>
  <si>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</si>
  <si>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</si>
  <si>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</si>
  <si>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</si>
  <si>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</si>
  <si>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</si>
  <si>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</si>
  <si>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</si>
  <si>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</si>
  <si>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</si>
  <si>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</si>
  <si>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</si>
  <si>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</si>
  <si>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</si>
  <si>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</si>
  <si>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</si>
  <si>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</si>
  <si>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</si>
  <si>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</si>
  <si>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</si>
  <si>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</si>
  <si>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</si>
  <si>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</si>
  <si>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</si>
  <si>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</si>
  <si>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</si>
  <si>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</si>
  <si>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</si>
  <si>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</si>
  <si>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</si>
  <si>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</si>
  <si>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</si>
  <si>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</si>
  <si>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</si>
  <si>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</si>
  <si>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</si>
  <si>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</si>
  <si>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</si>
  <si>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</si>
  <si>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</si>
  <si>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</si>
  <si>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</si>
  <si>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</si>
  <si>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</si>
  <si>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</si>
  <si>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</si>
  <si>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</si>
  <si>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</si>
  <si>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</si>
  <si>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</si>
  <si>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</si>
  <si>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</si>
  <si>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</si>
  <si>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</si>
  <si>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</si>
  <si>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</si>
  <si>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</si>
  <si>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</si>
  <si>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</si>
  <si>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</si>
  <si>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</si>
  <si>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</si>
  <si>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</si>
  <si>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</si>
  <si>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</si>
  <si>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</si>
  <si>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</si>
  <si>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</si>
  <si>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</si>
  <si>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</si>
  <si>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</si>
  <si>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</si>
  <si>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</si>
  <si>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</si>
  <si>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</si>
  <si>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</si>
  <si>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</si>
  <si>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</si>
  <si>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</si>
  <si>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</si>
  <si>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</si>
  <si>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</si>
  <si>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</si>
  <si>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</si>
  <si>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</si>
  <si>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</si>
  <si>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</si>
  <si>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</si>
  <si>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</si>
  <si>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</si>
  <si>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</si>
  <si>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</si>
  <si>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</si>
  <si>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</si>
  <si>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</si>
  <si>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</si>
  <si>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</si>
  <si>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</si>
  <si>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</si>
  <si>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</si>
  <si>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</si>
  <si>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</si>
  <si>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</si>
  <si>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</si>
  <si>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</si>
  <si>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</si>
  <si>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</si>
  <si>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</si>
  <si>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</si>
  <si>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</si>
  <si>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</si>
  <si>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</si>
  <si>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</si>
  <si>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</si>
  <si>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</si>
  <si>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</si>
  <si>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</si>
  <si>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</si>
  <si>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</si>
  <si>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</si>
  <si>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</si>
  <si>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</si>
  <si>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</si>
  <si>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</si>
  <si>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</si>
  <si>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</si>
  <si>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</si>
  <si>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</si>
  <si>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</si>
  <si>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</si>
  <si>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</si>
  <si>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</si>
  <si>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</si>
  <si>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</si>
  <si>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</si>
  <si>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</si>
  <si>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</si>
  <si>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</si>
  <si>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</si>
  <si>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</si>
  <si>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</si>
  <si>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</si>
  <si>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</si>
  <si>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</si>
  <si>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</si>
  <si>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</si>
  <si>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</si>
  <si>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</si>
  <si>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</si>
  <si>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</si>
  <si>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</si>
  <si>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</si>
  <si>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</si>
  <si>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</si>
  <si>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</si>
  <si>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</si>
  <si>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</si>
  <si>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</si>
  <si>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</si>
  <si>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</si>
  <si>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</si>
  <si>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</si>
  <si>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</si>
  <si>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</si>
  <si>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</si>
  <si>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</si>
  <si>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</si>
  <si>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</si>
  <si>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</si>
  <si>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</si>
  <si>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</si>
  <si>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</si>
  <si>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</si>
  <si>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</si>
  <si>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</si>
  <si>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</si>
  <si>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</si>
  <si>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</si>
  <si>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</si>
  <si>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</si>
  <si>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</si>
  <si>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</si>
  <si>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</si>
  <si>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</si>
  <si>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</si>
  <si>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</si>
  <si>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</si>
  <si>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</si>
  <si>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</si>
  <si>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</si>
  <si>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</si>
  <si>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</si>
  <si>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</si>
  <si>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</si>
  <si>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</si>
  <si>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</si>
  <si>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</si>
  <si>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</si>
  <si>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</si>
  <si>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</si>
  <si>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</si>
  <si>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</si>
  <si>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</si>
  <si>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</si>
  <si>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</si>
  <si>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</si>
  <si>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</si>
  <si>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</si>
  <si>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</si>
  <si>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</si>
  <si>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</si>
  <si>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</si>
  <si>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</si>
  <si>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</si>
  <si>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</si>
  <si>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</si>
  <si>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</si>
  <si>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</si>
  <si>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</si>
  <si>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</si>
  <si>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</si>
  <si>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</si>
  <si>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</si>
  <si>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</si>
  <si>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</si>
  <si>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</si>
  <si>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</si>
  <si>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</si>
  <si>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</si>
  <si>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</si>
  <si>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</si>
  <si>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</si>
  <si>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</si>
  <si>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</si>
  <si>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</si>
  <si>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</si>
  <si>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</si>
  <si>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</si>
  <si>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</si>
  <si>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</si>
  <si>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</si>
  <si>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</si>
  <si>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</si>
  <si>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</si>
  <si>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</si>
  <si>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</si>
  <si>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</si>
  <si>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</si>
  <si>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</si>
  <si>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</si>
  <si>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</si>
  <si>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</si>
  <si>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</si>
  <si>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</si>
  <si>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</si>
  <si>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</si>
  <si>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</si>
  <si>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</si>
  <si>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</si>
  <si>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</si>
  <si>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</si>
  <si>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</si>
  <si>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</si>
  <si>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</si>
  <si>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</si>
  <si>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</si>
  <si>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</si>
  <si>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</si>
  <si>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</si>
  <si>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</si>
  <si>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</si>
  <si>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</si>
  <si>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</si>
  <si>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</si>
  <si>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</si>
  <si>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</si>
  <si>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</si>
  <si>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</si>
  <si>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</si>
  <si>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</si>
  <si>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</si>
  <si>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</si>
  <si>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</si>
  <si>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</si>
  <si>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</si>
  <si>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</si>
  <si>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</si>
  <si>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</si>
  <si>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</si>
  <si>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</si>
  <si>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</si>
  <si>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</si>
  <si>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</si>
  <si>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</si>
  <si>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</si>
  <si>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</si>
  <si>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</si>
  <si>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</si>
  <si>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</si>
  <si>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</si>
  <si>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</si>
  <si>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</si>
  <si>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</si>
  <si>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</si>
  <si>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</si>
  <si>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</si>
  <si>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</si>
  <si>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</si>
  <si>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</si>
  <si>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</si>
  <si>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</si>
  <si>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</si>
  <si>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</si>
  <si>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</si>
  <si>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</si>
  <si>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</si>
  <si>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</si>
  <si>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</si>
  <si>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</si>
  <si>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</si>
  <si>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</si>
  <si>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</si>
  <si>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</si>
  <si>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</si>
  <si>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</si>
  <si>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</si>
  <si>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</si>
  <si>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</si>
  <si>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</si>
  <si>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</si>
  <si>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</si>
  <si>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</si>
  <si>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</si>
  <si>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</si>
  <si>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</si>
  <si>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</si>
  <si>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</si>
  <si>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</si>
  <si>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</si>
  <si>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</si>
  <si>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</si>
  <si>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</si>
  <si>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</si>
  <si>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</si>
  <si>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</si>
  <si>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</si>
  <si>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</si>
  <si>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</si>
  <si>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</si>
  <si>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</si>
  <si>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</si>
  <si>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</si>
  <si>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</si>
  <si>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</si>
  <si>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</si>
  <si>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</si>
  <si>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</si>
  <si>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</si>
  <si>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</si>
  <si>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</si>
  <si>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</si>
  <si>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</si>
  <si>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</si>
  <si>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</si>
  <si>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</si>
  <si>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</si>
  <si>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</si>
  <si>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</si>
  <si>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</si>
  <si>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</si>
  <si>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</si>
  <si>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</si>
  <si>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</si>
  <si>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</si>
  <si>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</si>
  <si>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</si>
  <si>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</si>
  <si>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</si>
  <si>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</si>
  <si>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</si>
  <si>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</si>
  <si>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</si>
  <si>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</si>
  <si>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</si>
  <si>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</si>
  <si>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</si>
  <si>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</si>
  <si>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</si>
  <si>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</si>
  <si>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</si>
  <si>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</si>
  <si>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</si>
  <si>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</si>
  <si>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</si>
  <si>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</si>
  <si>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</si>
  <si>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</si>
  <si>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</si>
  <si>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</si>
  <si>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</si>
  <si>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</si>
  <si>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</si>
  <si>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</si>
  <si>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</si>
  <si>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</si>
  <si>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</si>
  <si>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</si>
  <si>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</si>
  <si>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</si>
  <si>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</si>
  <si>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</si>
  <si>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</si>
  <si>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</si>
  <si>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</si>
  <si>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</si>
  <si>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</si>
  <si>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</si>
  <si>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</si>
  <si>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</si>
  <si>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</si>
  <si>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</si>
  <si>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</si>
  <si>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</si>
  <si>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</si>
  <si>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</si>
  <si>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</si>
  <si>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</si>
  <si>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</si>
  <si>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</si>
  <si>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</si>
  <si>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</si>
  <si>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</si>
  <si>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</si>
  <si>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</si>
  <si>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</si>
  <si>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</si>
  <si>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</si>
  <si>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</si>
  <si>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</si>
  <si>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</si>
  <si>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</si>
  <si>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</si>
  <si>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</si>
  <si>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</si>
  <si>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</si>
  <si>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</si>
  <si>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</si>
  <si>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</si>
  <si>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</si>
  <si>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</si>
  <si>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</si>
  <si>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</si>
  <si>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</si>
  <si>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</si>
  <si>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</si>
  <si>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</si>
  <si>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</si>
  <si>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</si>
  <si>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</si>
  <si>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</si>
  <si>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</si>
  <si>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</si>
  <si>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</si>
  <si>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</si>
  <si>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</si>
  <si>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</si>
  <si>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</si>
  <si>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</si>
  <si>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</si>
  <si>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</si>
  <si>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</si>
  <si>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</si>
  <si>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</si>
  <si>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</si>
  <si>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</si>
  <si>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</si>
  <si>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</si>
  <si>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</si>
  <si>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</si>
  <si>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</si>
  <si>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</si>
  <si>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</si>
  <si>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</si>
  <si>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</si>
  <si>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</si>
  <si>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</si>
  <si>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</si>
  <si>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</si>
  <si>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</si>
  <si>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</si>
  <si>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</si>
  <si>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</si>
  <si>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</si>
  <si>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</si>
  <si>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</si>
  <si>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</si>
  <si>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</si>
  <si>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</si>
  <si>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</si>
  <si>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</si>
  <si>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</si>
  <si>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</si>
  <si>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</si>
  <si>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</si>
  <si>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</si>
  <si>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</si>
  <si>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</si>
  <si>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</si>
  <si>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</si>
  <si>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</si>
  <si>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</si>
  <si>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</si>
  <si>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</si>
  <si>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</si>
  <si>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</si>
  <si>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</si>
  <si>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</si>
  <si>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</si>
  <si>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</si>
  <si>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</si>
  <si>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</si>
  <si>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</si>
  <si>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</si>
  <si>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</si>
  <si>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</si>
  <si>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</si>
  <si>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</si>
  <si>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</si>
  <si>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</si>
  <si>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</si>
  <si>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</si>
  <si>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</si>
  <si>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</si>
  <si>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</si>
  <si>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</si>
  <si>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</si>
  <si>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</si>
  <si>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</si>
  <si>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</si>
  <si>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</si>
  <si>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</si>
  <si>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</si>
  <si>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</si>
  <si>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</si>
  <si>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</si>
  <si>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</si>
  <si>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</si>
  <si>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</si>
  <si>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</si>
  <si>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</si>
  <si>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</si>
  <si>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</si>
  <si>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</si>
  <si>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</si>
  <si>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</si>
  <si>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</si>
  <si>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</si>
  <si>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</si>
  <si>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</si>
  <si>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</si>
  <si>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</si>
  <si>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</si>
  <si>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</si>
  <si>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</si>
  <si>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</si>
  <si>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</si>
  <si>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</si>
  <si>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</si>
  <si>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</si>
  <si>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</si>
  <si>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</si>
  <si>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</si>
  <si>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</si>
  <si>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</si>
  <si>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</si>
  <si>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</si>
  <si>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</si>
  <si>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</si>
  <si>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</si>
  <si>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</si>
  <si>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</si>
  <si>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</si>
  <si>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</si>
  <si>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</si>
  <si>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</si>
  <si>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</si>
  <si>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</si>
  <si>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</si>
  <si>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</si>
  <si>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</si>
  <si>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</si>
  <si>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</si>
  <si>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</si>
  <si>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</si>
  <si>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</si>
  <si>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</si>
  <si>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</si>
  <si>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</si>
  <si>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</si>
  <si>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</si>
  <si>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</si>
  <si>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</si>
  <si>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</si>
  <si>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</si>
  <si>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</si>
  <si>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</si>
  <si>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</si>
  <si>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</si>
  <si>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</si>
  <si>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</si>
  <si>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</si>
  <si>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</si>
  <si>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</si>
  <si>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</si>
  <si>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</si>
  <si>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</si>
  <si>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</si>
  <si>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</si>
  <si>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</si>
  <si>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</si>
  <si>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</si>
  <si>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</si>
  <si>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</si>
  <si>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</si>
  <si>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</si>
  <si>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</si>
  <si>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</si>
  <si>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</si>
  <si>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</si>
  <si>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</si>
  <si>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</si>
  <si>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</si>
  <si>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</si>
  <si>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</si>
  <si>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</si>
  <si>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</si>
  <si>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</si>
  <si>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</si>
  <si>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</si>
  <si>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</si>
  <si>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</si>
  <si>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</si>
  <si>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</si>
  <si>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</si>
  <si>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</si>
  <si>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</si>
  <si>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</si>
  <si>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</si>
  <si>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</si>
  <si>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</si>
  <si>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</si>
  <si>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</si>
  <si>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</si>
  <si>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</si>
  <si>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</si>
  <si>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</si>
  <si>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</si>
  <si>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</si>
  <si>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</si>
  <si>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</si>
  <si>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</si>
  <si>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</si>
  <si>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</si>
  <si>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</si>
  <si>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</si>
  <si>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</si>
  <si>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</si>
  <si>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</si>
  <si>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</si>
  <si>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</si>
  <si>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</si>
  <si>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</si>
  <si>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</si>
  <si>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</si>
  <si>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</si>
  <si>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</si>
  <si>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</si>
  <si>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</si>
  <si>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</si>
  <si>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</si>
  <si>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</si>
  <si>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</si>
  <si>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</si>
  <si>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</si>
  <si>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</si>
  <si>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</si>
  <si>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</si>
  <si>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</si>
  <si>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</si>
  <si>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</si>
  <si>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</si>
  <si>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</si>
  <si>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</si>
  <si>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</si>
  <si>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</si>
  <si>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</si>
  <si>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</si>
  <si>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</si>
  <si>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</si>
  <si>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</si>
  <si>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</si>
  <si>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</si>
  <si>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</si>
  <si>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</si>
  <si>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</si>
  <si>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</si>
  <si>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</si>
  <si>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</si>
  <si>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</si>
  <si>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</si>
  <si>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</si>
  <si>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</si>
  <si>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</si>
  <si>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</si>
  <si>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</si>
  <si>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</si>
  <si>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</si>
  <si>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</si>
  <si>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</si>
  <si>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</si>
  <si>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</si>
  <si>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</si>
  <si>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</si>
  <si>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</si>
  <si>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</si>
  <si>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</si>
  <si>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</si>
  <si>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</si>
  <si>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</si>
  <si>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</si>
  <si>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</si>
  <si>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</si>
  <si>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</si>
  <si>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</si>
  <si>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</si>
  <si>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</si>
  <si>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</si>
  <si>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</si>
  <si>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</si>
  <si>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</si>
  <si>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</si>
  <si>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</si>
  <si>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</si>
  <si>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</si>
  <si>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</si>
  <si>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</si>
  <si>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</si>
  <si>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</si>
  <si>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</si>
  <si>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</si>
  <si>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</si>
  <si>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</si>
  <si>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</si>
  <si>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</si>
  <si>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</si>
  <si>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</si>
  <si>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</si>
  <si>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</si>
  <si>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</si>
  <si>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</si>
  <si>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</si>
  <si>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</si>
  <si>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</si>
  <si>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</si>
  <si>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</si>
  <si>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</si>
  <si>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</si>
  <si>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</si>
  <si>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</si>
  <si>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</si>
  <si>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</si>
  <si>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</si>
  <si>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</si>
  <si>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</si>
  <si>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</si>
  <si>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</si>
  <si>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</si>
  <si>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</si>
  <si>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</si>
  <si>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</si>
  <si>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</si>
  <si>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</si>
  <si>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</si>
  <si>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</si>
  <si>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</si>
  <si>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</si>
  <si>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</si>
  <si>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</si>
  <si>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</si>
  <si>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</si>
  <si>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</si>
  <si>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</si>
  <si>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</si>
  <si>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</si>
  <si>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</si>
  <si>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</si>
  <si>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</si>
  <si>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</si>
  <si>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</si>
  <si>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</si>
  <si>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</si>
  <si>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</si>
  <si>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</si>
  <si>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</si>
  <si>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</si>
  <si>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</si>
  <si>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</si>
  <si>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</si>
  <si>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</si>
  <si>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</si>
  <si>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</si>
  <si>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</si>
  <si>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</si>
  <si>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</si>
  <si>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</si>
  <si>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</si>
  <si>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</si>
  <si>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</si>
  <si>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</si>
  <si>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</si>
  <si>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</si>
  <si>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</si>
  <si>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</si>
  <si>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</si>
  <si>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</si>
  <si>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</si>
  <si>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</si>
  <si>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</si>
  <si>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</si>
  <si>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</si>
  <si>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</si>
  <si>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</si>
  <si>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</si>
  <si>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</si>
  <si>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</si>
  <si>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</si>
  <si>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</si>
  <si>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</si>
  <si>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</si>
  <si>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</si>
  <si>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</si>
  <si>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</si>
  <si>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</si>
  <si>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</si>
  <si>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</si>
  <si>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</si>
  <si>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</si>
  <si>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</si>
  <si>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</si>
  <si>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</si>
  <si>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</si>
  <si>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</si>
  <si>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</si>
  <si>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</si>
  <si>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</si>
  <si>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</si>
  <si>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</si>
  <si>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</si>
  <si>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</si>
  <si>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</si>
  <si>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</si>
  <si>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</si>
  <si>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</si>
  <si>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</si>
  <si>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</si>
  <si>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</si>
  <si>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</si>
  <si>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</si>
  <si>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</si>
  <si>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</si>
  <si>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</si>
  <si>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</si>
  <si>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</si>
  <si>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</si>
  <si>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</si>
  <si>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</si>
  <si>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</si>
  <si>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</si>
  <si>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</si>
  <si>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</si>
  <si>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</si>
  <si>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</si>
  <si>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</si>
  <si>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</si>
  <si>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</si>
  <si>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</si>
  <si>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</si>
  <si>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</si>
  <si>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</si>
  <si>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</si>
  <si>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</si>
  <si>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</si>
  <si>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</si>
  <si>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</si>
  <si>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</si>
  <si>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</si>
  <si>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</si>
  <si>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</si>
  <si>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</si>
  <si>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</si>
  <si>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</si>
  <si>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</si>
  <si>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</si>
  <si>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</si>
  <si>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</si>
  <si>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</si>
  <si>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</si>
  <si>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</si>
  <si>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</si>
  <si>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</si>
  <si>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</si>
  <si>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</si>
  <si>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</si>
  <si>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</si>
  <si>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</si>
  <si>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</si>
  <si>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</si>
  <si>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</si>
  <si>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</si>
  <si>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</si>
  <si>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</si>
  <si>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</si>
  <si>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</si>
  <si>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</si>
  <si>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</si>
  <si>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</si>
  <si>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</si>
  <si>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</si>
  <si>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</si>
  <si>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</si>
  <si>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</si>
  <si>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</si>
  <si>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</si>
  <si>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</si>
  <si>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</si>
  <si>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</si>
  <si>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</si>
  <si>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</si>
  <si>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</si>
  <si>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</si>
  <si>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</si>
  <si>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</si>
  <si>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</si>
  <si>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</si>
  <si>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</si>
  <si>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</si>
  <si>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</si>
  <si>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</si>
  <si>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</si>
  <si>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</si>
  <si>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</si>
  <si>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</si>
  <si>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</si>
  <si>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</si>
  <si>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</si>
  <si>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</si>
  <si>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</si>
  <si>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</si>
  <si>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</si>
  <si>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</si>
  <si>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</si>
  <si>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</si>
  <si>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</si>
  <si>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</si>
  <si>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</si>
  <si>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</si>
  <si>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</si>
  <si>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</si>
  <si>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</si>
  <si>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</si>
  <si>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</si>
  <si>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</si>
  <si>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</si>
  <si>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</si>
  <si>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</si>
  <si>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</si>
  <si>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</si>
  <si>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</si>
  <si>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</si>
  <si>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</si>
  <si>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</si>
  <si>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</si>
  <si>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</si>
  <si>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</si>
  <si>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</si>
  <si>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</si>
  <si>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</si>
  <si>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</si>
  <si>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</si>
  <si>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</si>
  <si>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</si>
  <si>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</si>
  <si>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</si>
  <si>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</si>
  <si>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</si>
  <si>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</si>
  <si>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</si>
  <si>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</si>
  <si>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</si>
  <si>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</si>
  <si>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</si>
  <si>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</si>
  <si>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</si>
  <si>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</si>
  <si>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</si>
  <si>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</si>
  <si>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</si>
  <si>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</si>
  <si>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</si>
  <si>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</si>
  <si>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</si>
  <si>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</si>
  <si>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</si>
  <si>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</si>
  <si>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</si>
  <si>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</si>
  <si>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</si>
  <si>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</si>
  <si>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</si>
  <si>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</si>
  <si>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</si>
  <si>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</si>
  <si>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</si>
  <si>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</si>
  <si>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</si>
  <si>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</si>
  <si>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</si>
  <si>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</si>
  <si>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</si>
  <si>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</si>
  <si>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</si>
  <si>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</si>
  <si>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</si>
  <si>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</si>
  <si>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</si>
  <si>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</si>
  <si>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</si>
  <si>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</si>
  <si>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</si>
  <si>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</si>
  <si>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</si>
  <si>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</si>
  <si>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</si>
  <si>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</si>
  <si>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</si>
  <si>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</si>
  <si>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</si>
  <si>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</si>
  <si>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</si>
  <si>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</si>
  <si>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</si>
  <si>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</si>
  <si>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</si>
  <si>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</si>
  <si>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</si>
  <si>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</si>
  <si>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</si>
  <si>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</si>
  <si>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</si>
  <si>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</si>
  <si>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</si>
  <si>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</si>
  <si>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</si>
  <si>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</si>
  <si>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</si>
  <si>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</si>
  <si>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</si>
  <si>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</si>
  <si>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</si>
  <si>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</si>
  <si>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</si>
  <si>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</si>
  <si>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</si>
  <si>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</si>
  <si>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</si>
  <si>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</si>
  <si>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</si>
  <si>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</si>
  <si>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</si>
  <si>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</si>
  <si>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</si>
  <si>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</si>
  <si>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</si>
  <si>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</si>
  <si>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</si>
  <si>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</si>
  <si>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</si>
  <si>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</si>
  <si>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</si>
  <si>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</si>
  <si>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</si>
  <si>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</si>
  <si>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</si>
  <si>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</si>
  <si>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</si>
  <si>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</si>
  <si>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</si>
  <si>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</si>
  <si>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</si>
  <si>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</si>
  <si>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</si>
  <si>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</si>
  <si>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</si>
  <si>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</si>
  <si>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</si>
  <si>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</si>
  <si>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</si>
  <si>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</si>
  <si>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</si>
  <si>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</si>
  <si>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</si>
  <si>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</si>
  <si>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</si>
  <si>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</si>
  <si>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</si>
  <si>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</si>
  <si>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</si>
  <si>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</si>
  <si>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</si>
  <si>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</si>
  <si>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</si>
  <si>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</si>
  <si>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</si>
  <si>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</si>
  <si>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</si>
  <si>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</si>
  <si>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</si>
  <si>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</si>
  <si>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</si>
  <si>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</si>
  <si>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</si>
  <si>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</si>
  <si>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</si>
  <si>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</si>
  <si>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</si>
  <si>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</si>
  <si>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</si>
  <si>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</si>
  <si>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</si>
  <si>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</si>
  <si>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</si>
  <si>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</si>
  <si>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</si>
  <si>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</si>
  <si>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</si>
  <si>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</si>
  <si>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</si>
  <si>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</si>
  <si>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</si>
  <si>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</si>
  <si>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</si>
  <si>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</si>
  <si>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</si>
  <si>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</si>
  <si>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</si>
  <si>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</si>
  <si>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</si>
  <si>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</si>
  <si>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</si>
  <si>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</si>
  <si>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</si>
  <si>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</si>
  <si>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</si>
  <si>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</si>
  <si>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</si>
  <si>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</si>
  <si>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</si>
  <si>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</si>
  <si>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</si>
  <si>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</si>
  <si>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</si>
  <si>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</si>
  <si>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</si>
  <si>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</si>
  <si>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</si>
  <si>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</si>
  <si>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</si>
  <si>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</si>
  <si>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</si>
  <si>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</si>
  <si>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</si>
  <si>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</si>
  <si>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</si>
  <si>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</si>
  <si>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</si>
  <si>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</si>
  <si>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</si>
  <si>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</si>
  <si>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</si>
  <si>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</si>
  <si>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</si>
  <si>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</si>
  <si>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</si>
  <si>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</si>
  <si>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</si>
  <si>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</si>
  <si>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</si>
  <si>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</si>
  <si>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</si>
  <si>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</si>
  <si>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</si>
  <si>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</si>
  <si>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</si>
  <si>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</si>
  <si>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</si>
  <si>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</si>
  <si>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</si>
  <si>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</si>
  <si>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</si>
  <si>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</si>
  <si>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</si>
  <si>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</si>
  <si>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</si>
  <si>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</si>
  <si>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</si>
  <si>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</si>
  <si>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</si>
  <si>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</si>
  <si>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</si>
  <si>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</si>
  <si>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</si>
  <si>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</si>
  <si>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</si>
  <si>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</si>
  <si>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</si>
  <si>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</si>
  <si>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</si>
  <si>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</si>
  <si>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</si>
  <si>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</si>
  <si>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</si>
  <si>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</si>
  <si>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</si>
  <si>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</si>
  <si>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</si>
  <si>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</si>
  <si>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</si>
  <si>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</si>
  <si>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</si>
  <si>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</si>
  <si>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</si>
  <si>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</si>
  <si>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</si>
  <si>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</si>
  <si>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</si>
  <si>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</si>
  <si>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</si>
  <si>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</si>
  <si>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</si>
  <si>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</si>
  <si>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</si>
  <si>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</si>
  <si>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</si>
  <si>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</si>
  <si>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</si>
  <si>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</si>
  <si>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</si>
  <si>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</si>
  <si>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</si>
  <si>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</si>
  <si>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</si>
  <si>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</si>
  <si>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</si>
  <si>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</si>
  <si>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</si>
  <si>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</si>
  <si>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</si>
  <si>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</si>
  <si>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</si>
  <si>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</si>
  <si>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</si>
  <si>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</si>
  <si>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</si>
  <si>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</si>
  <si>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</si>
  <si>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</si>
  <si>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</si>
  <si>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</si>
  <si>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</si>
  <si>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</si>
  <si>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</si>
  <si>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</si>
  <si>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</si>
  <si>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</si>
  <si>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</si>
  <si>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</si>
  <si>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</si>
  <si>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</si>
  <si>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</si>
  <si>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</si>
  <si>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</si>
  <si>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</si>
  <si>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</si>
  <si>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</si>
  <si>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</si>
  <si>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</si>
  <si>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</si>
  <si>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</si>
  <si>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</si>
  <si>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</si>
  <si>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</si>
  <si>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</si>
  <si>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</si>
  <si>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</si>
  <si>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</si>
  <si>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</si>
  <si>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</si>
  <si>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</si>
  <si>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</si>
  <si>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</si>
  <si>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</si>
  <si>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</si>
  <si>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</si>
  <si>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</si>
  <si>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</si>
  <si>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</si>
  <si>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</si>
  <si>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</si>
  <si>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</si>
  <si>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</si>
  <si>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</si>
  <si>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</si>
  <si>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</si>
  <si>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</si>
  <si>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</si>
  <si>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</si>
  <si>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</si>
  <si>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</si>
  <si>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</si>
  <si>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</si>
  <si>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</si>
  <si>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</si>
  <si>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</si>
  <si>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</si>
  <si>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</si>
  <si>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</si>
  <si>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</si>
  <si>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</si>
  <si>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</si>
  <si>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</si>
  <si>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</si>
  <si>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</si>
  <si>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</si>
  <si>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</si>
  <si>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</si>
  <si>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</si>
  <si>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</si>
  <si>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</si>
  <si>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</si>
  <si>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</si>
  <si>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</si>
  <si>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</si>
  <si>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</si>
  <si>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</si>
  <si>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</si>
  <si>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</si>
  <si>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</si>
  <si>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</si>
  <si>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</si>
  <si>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</si>
  <si>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</si>
  <si>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</si>
  <si>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</si>
  <si>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</si>
  <si>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</si>
  <si>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</si>
  <si>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</si>
  <si>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</si>
  <si>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</si>
  <si>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</si>
  <si>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</si>
  <si>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</si>
  <si>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</si>
  <si>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</si>
  <si>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</si>
  <si>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</si>
  <si>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</si>
  <si>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</si>
  <si>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</si>
  <si>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</si>
  <si>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</si>
  <si>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</si>
  <si>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</si>
  <si>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</si>
  <si>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</si>
  <si>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</si>
  <si>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</si>
  <si>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</si>
  <si>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</si>
  <si>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</si>
  <si>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</si>
  <si>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</si>
  <si>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</si>
  <si>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</si>
  <si>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</si>
  <si>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</si>
  <si>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</si>
  <si>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</si>
  <si>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</si>
  <si>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</si>
  <si>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</si>
  <si>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</si>
  <si>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</si>
  <si>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</si>
  <si>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</si>
  <si>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</si>
  <si>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</si>
  <si>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</si>
  <si>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</si>
  <si>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</si>
  <si>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</si>
  <si>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</si>
  <si>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</si>
  <si>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</si>
  <si>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</si>
  <si>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</si>
  <si>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</si>
  <si>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</si>
  <si>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</si>
  <si>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</si>
  <si>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</si>
  <si>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</si>
  <si>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</si>
  <si>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</si>
  <si>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</si>
  <si>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</si>
  <si>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</si>
  <si>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</si>
  <si>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</si>
  <si>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</si>
  <si>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</si>
  <si>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</si>
  <si>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</si>
  <si>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</si>
  <si>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</si>
  <si>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</si>
  <si>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</si>
  <si>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</si>
  <si>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</si>
  <si>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</si>
  <si>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</si>
  <si>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</si>
  <si>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</si>
  <si>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</si>
  <si>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</si>
  <si>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</si>
  <si>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</si>
  <si>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</si>
  <si>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</si>
  <si>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</si>
  <si>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</si>
  <si>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</si>
  <si>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</si>
  <si>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</si>
  <si>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</si>
  <si>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</si>
  <si>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</si>
  <si>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</si>
  <si>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</si>
  <si>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</si>
  <si>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</si>
  <si>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</si>
  <si>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</si>
  <si>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</si>
  <si>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</si>
  <si>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</si>
  <si>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</si>
  <si>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</si>
  <si>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</si>
  <si>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</si>
  <si>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</si>
  <si>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</si>
  <si>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</si>
  <si>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</si>
  <si>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</si>
  <si>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</si>
  <si>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</si>
  <si>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</si>
  <si>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</si>
  <si>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</si>
  <si>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</si>
  <si>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</si>
  <si>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</si>
  <si>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</si>
  <si>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</si>
  <si>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</si>
  <si>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</si>
  <si>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</si>
  <si>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</si>
  <si>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</si>
  <si>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</si>
  <si>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</si>
  <si>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</si>
  <si>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</si>
  <si>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</si>
  <si>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</si>
  <si>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</si>
  <si>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</si>
  <si>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</si>
  <si>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</si>
  <si>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</si>
  <si>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</si>
  <si>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</si>
  <si>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</si>
  <si>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</si>
  <si>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</si>
  <si>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</si>
  <si>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</si>
  <si>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</si>
  <si>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</si>
  <si>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</si>
  <si>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</si>
  <si>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</si>
  <si>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</si>
  <si>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</si>
  <si>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</si>
  <si>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</si>
  <si>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</si>
  <si>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</si>
  <si>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</si>
  <si>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</si>
  <si>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</si>
  <si>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</si>
  <si>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</si>
  <si>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</si>
  <si>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</si>
  <si>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</si>
  <si>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</si>
  <si>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</si>
  <si>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</si>
  <si>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</si>
  <si>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</si>
  <si>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</si>
  <si>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</si>
  <si>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</si>
  <si>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</si>
  <si>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</si>
  <si>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</si>
  <si>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</si>
  <si>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</si>
  <si>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</si>
  <si>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</si>
  <si>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</si>
  <si>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</si>
  <si>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</si>
  <si>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</si>
  <si>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</si>
  <si>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</si>
  <si>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</si>
  <si>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</si>
  <si>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</si>
  <si>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</si>
  <si>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</si>
  <si>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</si>
  <si>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</si>
  <si>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</si>
  <si>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</si>
  <si>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</si>
  <si>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</si>
  <si>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</si>
  <si>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</si>
  <si>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</si>
  <si>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</si>
  <si>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</si>
  <si>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</si>
  <si>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</si>
  <si>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</si>
  <si>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</si>
  <si>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</si>
  <si>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</si>
  <si>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</si>
  <si>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</si>
  <si>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</si>
  <si>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</si>
  <si>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</si>
  <si>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</si>
  <si>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</si>
  <si>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</si>
  <si>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</si>
  <si>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</si>
  <si>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</si>
  <si>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</si>
  <si>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</si>
  <si>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</si>
  <si>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</si>
  <si>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</si>
  <si>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</si>
  <si>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</si>
  <si>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</si>
  <si>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</si>
  <si>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</si>
  <si>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</si>
  <si>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</si>
  <si>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</si>
  <si>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</si>
  <si>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</si>
  <si>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</si>
  <si>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</si>
  <si>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</si>
  <si>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</si>
  <si>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</si>
  <si>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</si>
  <si>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</si>
  <si>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</si>
  <si>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</si>
  <si>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</si>
  <si>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</si>
  <si>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</si>
  <si>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</si>
  <si>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</si>
  <si>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</si>
  <si>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</si>
  <si>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</si>
  <si>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</si>
  <si>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</si>
  <si>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</si>
  <si>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</si>
  <si>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</si>
  <si>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</si>
  <si>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</si>
  <si>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</si>
  <si>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</si>
  <si>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</si>
  <si>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</si>
  <si>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</si>
  <si>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</si>
  <si>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</si>
  <si>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</si>
  <si>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</si>
  <si>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</si>
  <si>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</si>
  <si>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</si>
  <si>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</si>
  <si>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</si>
  <si>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</si>
  <si>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</si>
  <si>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</si>
  <si>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</si>
  <si>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</si>
  <si>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</si>
  <si>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</si>
  <si>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</si>
  <si>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</si>
  <si>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</si>
  <si>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</si>
  <si>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</si>
  <si>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</si>
  <si>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</si>
  <si>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</si>
  <si>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</si>
  <si>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</si>
  <si>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</si>
  <si>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</si>
  <si>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</si>
  <si>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</si>
  <si>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</si>
  <si>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</si>
  <si>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</si>
  <si>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</si>
  <si>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</si>
  <si>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</si>
  <si>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</si>
  <si>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</si>
  <si>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</si>
  <si>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</si>
  <si>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</si>
  <si>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</si>
  <si>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</si>
  <si>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</si>
  <si>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</si>
  <si>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</si>
  <si>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</si>
  <si>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</si>
  <si>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</si>
  <si>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</si>
  <si>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</si>
  <si>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</si>
  <si>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</si>
  <si>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</si>
  <si>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</si>
  <si>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</si>
  <si>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</si>
  <si>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</si>
  <si>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</si>
  <si>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</si>
  <si>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</si>
  <si>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</si>
  <si>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</si>
  <si>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</si>
  <si>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</si>
  <si>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</si>
  <si>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</si>
  <si>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</si>
  <si>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</si>
  <si>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</si>
  <si>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</si>
  <si>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</si>
  <si>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</si>
  <si>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</si>
  <si>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</si>
  <si>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</si>
  <si>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</si>
  <si>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</si>
  <si>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</si>
  <si>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</si>
  <si>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</si>
  <si>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</si>
  <si>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</si>
  <si>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</si>
  <si>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</si>
  <si>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</si>
  <si>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</si>
  <si>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</si>
  <si>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</si>
  <si>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</si>
  <si>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</si>
  <si>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</si>
  <si>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</si>
  <si>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</si>
  <si>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</si>
  <si>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</si>
  <si>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</si>
  <si>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</si>
  <si>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</si>
  <si>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</si>
  <si>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</si>
  <si>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</si>
  <si>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</si>
  <si>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</si>
  <si>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</si>
  <si>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</si>
  <si>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</si>
  <si>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</si>
  <si>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</si>
  <si>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</si>
  <si>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</si>
  <si>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</si>
  <si>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</si>
  <si>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</si>
  <si>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</si>
  <si>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</si>
  <si>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</si>
  <si>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</si>
  <si>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</si>
  <si>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</si>
  <si>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</si>
  <si>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</si>
  <si>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</si>
  <si>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</si>
  <si>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</si>
  <si>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</si>
  <si>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</si>
  <si>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</si>
  <si>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</si>
  <si>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</si>
  <si>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</si>
  <si>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</si>
  <si>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</si>
  <si>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</si>
  <si>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</si>
  <si>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</si>
  <si>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</si>
  <si>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</si>
  <si>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</si>
  <si>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</si>
  <si>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</si>
  <si>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</si>
  <si>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</si>
  <si>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</si>
  <si>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</si>
  <si>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</si>
  <si>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</si>
  <si>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</si>
  <si>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</si>
  <si>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</si>
  <si>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</si>
  <si>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</si>
  <si>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</si>
  <si>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</si>
  <si>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</si>
  <si>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</si>
  <si>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</si>
  <si>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</si>
  <si>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</si>
  <si>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</si>
  <si>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</si>
  <si>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</si>
  <si>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</si>
  <si>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</si>
  <si>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</si>
  <si>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</si>
  <si>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</si>
  <si>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</si>
  <si>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</si>
  <si>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</si>
  <si>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</si>
  <si>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</si>
  <si>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</si>
  <si>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</si>
  <si>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</si>
  <si>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</si>
  <si>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</si>
  <si>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</si>
  <si>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</si>
  <si>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</si>
  <si>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</si>
  <si>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</si>
  <si>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</si>
  <si>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</si>
  <si>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</si>
  <si>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</si>
  <si>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</si>
  <si>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</si>
  <si>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</si>
  <si>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</si>
  <si>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</si>
  <si>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</si>
  <si>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</si>
  <si>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</si>
  <si>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</si>
  <si>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</si>
  <si>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</si>
  <si>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</si>
  <si>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</si>
  <si>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</si>
  <si>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</si>
  <si>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</si>
  <si>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</si>
  <si>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</si>
  <si>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</si>
  <si>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</si>
  <si>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</si>
  <si>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</si>
  <si>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</si>
  <si>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</si>
  <si>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</si>
  <si>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</si>
  <si>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</si>
  <si>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</si>
  <si>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</si>
  <si>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</si>
  <si>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</si>
  <si>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</si>
  <si>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</si>
  <si>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</si>
  <si>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</si>
  <si>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</si>
  <si>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</si>
  <si>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</si>
  <si>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</si>
  <si>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</si>
  <si>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</si>
  <si>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</si>
  <si>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</si>
  <si>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</si>
  <si>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</si>
  <si>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</si>
  <si>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</si>
  <si>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</si>
  <si>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</si>
  <si>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</si>
  <si>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</si>
  <si>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</si>
  <si>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</si>
  <si>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</si>
  <si>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</si>
  <si>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</si>
  <si>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</si>
  <si>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</si>
  <si>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</si>
  <si>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</si>
  <si>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</si>
  <si>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</si>
  <si>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</si>
  <si>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</si>
  <si>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</si>
  <si>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</si>
  <si>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</si>
  <si>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</si>
  <si>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</si>
  <si>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</si>
  <si>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</si>
  <si>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</si>
  <si>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</si>
  <si>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</si>
  <si>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</si>
  <si>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</si>
  <si>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</si>
  <si>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</si>
  <si>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</si>
  <si>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</si>
  <si>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</si>
  <si>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</si>
  <si>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</si>
  <si>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</si>
  <si>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</si>
  <si>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</si>
  <si>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</si>
  <si>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</si>
  <si>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</si>
  <si>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</si>
  <si>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</si>
  <si>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</si>
  <si>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</si>
  <si>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</si>
  <si>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</si>
  <si>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</si>
  <si>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</si>
  <si>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</si>
  <si>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</si>
  <si>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</si>
  <si>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</si>
  <si>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</si>
  <si>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</si>
  <si>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</si>
  <si>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</si>
  <si>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</si>
  <si>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</si>
  <si>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</si>
  <si>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</si>
  <si>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</si>
  <si>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</si>
  <si>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</si>
  <si>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</si>
  <si>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</si>
  <si>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</si>
  <si>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</si>
  <si>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</si>
  <si>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</si>
  <si>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</si>
  <si>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</si>
  <si>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</si>
  <si>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</si>
  <si>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</si>
  <si>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</si>
  <si>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</si>
  <si>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</si>
  <si>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</si>
  <si>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</si>
  <si>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</si>
  <si>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</si>
  <si>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</si>
  <si>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</si>
  <si>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</si>
  <si>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</si>
  <si>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</si>
  <si>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</si>
  <si>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</si>
  <si>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</si>
  <si>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</si>
  <si>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</si>
  <si>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</si>
  <si>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</si>
  <si>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</si>
  <si>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</si>
  <si>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</si>
  <si>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</si>
  <si>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</si>
  <si>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</si>
  <si>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</si>
  <si>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</si>
  <si>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</si>
  <si>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</si>
  <si>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</si>
  <si>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</si>
  <si>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</si>
  <si>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</si>
  <si>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</si>
  <si>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</si>
  <si>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</si>
  <si>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</si>
  <si>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</si>
  <si>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</si>
  <si>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</si>
  <si>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</si>
  <si>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</si>
  <si>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</si>
  <si>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</si>
  <si>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</si>
  <si>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</si>
  <si>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</si>
  <si>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</si>
  <si>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</si>
  <si>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</si>
  <si>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</si>
  <si>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</si>
  <si>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</si>
  <si>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</si>
  <si>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</si>
  <si>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</si>
  <si>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</si>
  <si>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</si>
  <si>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</si>
  <si>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</si>
  <si>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</si>
  <si>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</si>
  <si>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</si>
  <si>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</si>
  <si>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</si>
  <si>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</si>
  <si>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</si>
  <si>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</si>
  <si>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</si>
  <si>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</si>
  <si>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</si>
  <si>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</si>
  <si>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</si>
  <si>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</si>
  <si>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</si>
  <si>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</si>
  <si>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</si>
  <si>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</si>
  <si>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</si>
  <si>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</si>
  <si>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</si>
  <si>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</si>
  <si>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</si>
  <si>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</si>
  <si>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</si>
  <si>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</si>
  <si>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</si>
  <si>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</si>
  <si>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</si>
  <si>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</si>
  <si>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</si>
  <si>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</si>
  <si>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</si>
  <si>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</si>
  <si>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</si>
  <si>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</si>
  <si>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</si>
  <si>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</si>
  <si>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</si>
  <si>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</si>
  <si>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</si>
  <si>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</si>
  <si>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</si>
  <si>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</si>
  <si>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</si>
  <si>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</si>
  <si>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</si>
  <si>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</si>
  <si>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</si>
  <si>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</si>
  <si>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</si>
  <si>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</si>
  <si>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</si>
  <si>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</si>
  <si>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</si>
  <si>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</si>
  <si>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</si>
  <si>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</si>
  <si>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</si>
  <si>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</si>
  <si>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</si>
  <si>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</si>
  <si>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</si>
  <si>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</si>
  <si>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</si>
  <si>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</si>
  <si>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</si>
  <si>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</si>
  <si>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</si>
  <si>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</si>
  <si>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</si>
  <si>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</si>
  <si>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</si>
  <si>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</si>
  <si>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</si>
  <si>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</si>
  <si>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</si>
  <si>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</si>
  <si>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</si>
  <si>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</si>
  <si>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</si>
  <si>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</si>
  <si>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</si>
  <si>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</si>
  <si>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</si>
  <si>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</si>
  <si>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</si>
  <si>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</si>
  <si>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</si>
  <si>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</si>
  <si>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</si>
  <si>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</si>
  <si>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</si>
  <si>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</si>
  <si>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</si>
  <si>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</si>
  <si>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</si>
  <si>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</si>
  <si>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</si>
  <si>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</si>
  <si>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</si>
  <si>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</si>
  <si>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</si>
  <si>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</si>
  <si>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</si>
  <si>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</si>
  <si>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</si>
  <si>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</si>
  <si>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</si>
  <si>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</si>
  <si>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</si>
  <si>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</si>
  <si>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</si>
  <si>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</si>
  <si>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</si>
  <si>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</si>
  <si>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</si>
  <si>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</si>
  <si>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</si>
  <si>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</si>
  <si>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</si>
  <si>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</si>
  <si>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</si>
  <si>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</si>
  <si>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</si>
  <si>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</si>
  <si>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</si>
  <si>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</si>
  <si>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</si>
  <si>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</si>
  <si>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</si>
  <si>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</si>
  <si>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</si>
  <si>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</si>
  <si>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</si>
  <si>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</si>
  <si>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</si>
  <si>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</si>
  <si>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</si>
  <si>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</si>
  <si>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</si>
  <si>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</si>
  <si>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</si>
  <si>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</si>
  <si>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</si>
  <si>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</si>
  <si>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</si>
  <si>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</si>
  <si>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</si>
  <si>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</si>
  <si>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</si>
  <si>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</si>
  <si>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</si>
  <si>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</si>
  <si>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</si>
  <si>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</si>
  <si>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</si>
  <si>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</si>
  <si>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</si>
  <si>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</si>
  <si>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</si>
  <si>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</si>
  <si>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</si>
  <si>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</si>
  <si>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</si>
  <si>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</si>
  <si>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</si>
  <si>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</si>
  <si>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</si>
  <si>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</si>
  <si>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</si>
  <si>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</si>
  <si>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</si>
  <si>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</si>
  <si>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</si>
  <si>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</si>
  <si>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</si>
  <si>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</si>
  <si>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</si>
  <si>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</si>
  <si>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</si>
  <si>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</si>
  <si>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</si>
  <si>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</si>
  <si>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</si>
  <si>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</si>
  <si>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</si>
  <si>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</si>
  <si>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</si>
  <si>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</si>
  <si>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</si>
  <si>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</si>
  <si>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</si>
  <si>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</si>
  <si>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</si>
  <si>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</si>
  <si>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</si>
  <si>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</si>
  <si>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</si>
  <si>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</si>
  <si>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</si>
  <si>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</si>
  <si>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</si>
  <si>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</si>
  <si>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</si>
  <si>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</si>
  <si>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</si>
  <si>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</si>
  <si>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</si>
  <si>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</si>
  <si>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</si>
  <si>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</si>
  <si>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</si>
  <si>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</si>
  <si>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</si>
  <si>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</si>
  <si>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</si>
  <si>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</si>
  <si>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</si>
  <si>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</si>
  <si>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</si>
  <si>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</si>
  <si>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</si>
  <si>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</si>
  <si>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</si>
  <si>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</si>
  <si>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</si>
  <si>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</si>
  <si>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</si>
  <si>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</si>
  <si>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</si>
  <si>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</si>
  <si>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</si>
  <si>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</si>
  <si>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</si>
  <si>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</si>
  <si>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</si>
  <si>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</si>
  <si>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</si>
  <si>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</si>
  <si>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</si>
  <si>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</si>
  <si>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</si>
  <si>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</si>
  <si>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</si>
  <si>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</si>
  <si>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</si>
  <si>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</si>
  <si>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</si>
  <si>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</si>
  <si>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</si>
  <si>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</si>
  <si>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</si>
  <si>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</si>
  <si>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</si>
  <si>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</si>
  <si>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</si>
  <si>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</si>
  <si>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</si>
  <si>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</si>
  <si>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</si>
  <si>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</si>
  <si>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</si>
  <si>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</si>
  <si>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</si>
  <si>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</si>
  <si>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</si>
  <si>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</si>
  <si>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</si>
  <si>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</si>
  <si>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</si>
  <si>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</si>
  <si>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</si>
  <si>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</si>
  <si>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</si>
  <si>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</si>
  <si>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</si>
  <si>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</si>
  <si>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</si>
  <si>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</si>
  <si>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</si>
  <si>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</si>
  <si>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</si>
  <si>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</si>
  <si>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</si>
  <si>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</si>
  <si>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</si>
  <si>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</si>
  <si>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</si>
  <si>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</si>
  <si>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</si>
  <si>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</si>
  <si>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</si>
  <si>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</si>
  <si>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</si>
  <si>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</si>
  <si>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</si>
  <si>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</si>
  <si>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</si>
  <si>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</si>
  <si>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</si>
  <si>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</si>
  <si>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</si>
  <si>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</si>
  <si>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</si>
  <si>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</si>
  <si>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</si>
  <si>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</si>
  <si>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</si>
  <si>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</si>
  <si>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</si>
  <si>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</si>
  <si>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</si>
  <si>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</si>
  <si>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</si>
  <si>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</si>
  <si>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</si>
  <si>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</si>
  <si>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</si>
  <si>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</si>
  <si>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</si>
  <si>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</si>
  <si>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</si>
  <si>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</si>
  <si>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</si>
  <si>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</si>
  <si>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</si>
  <si>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</si>
  <si>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</si>
  <si>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</si>
  <si>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</si>
  <si>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</si>
  <si>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</si>
  <si>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</si>
  <si>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</si>
  <si>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</si>
  <si>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</si>
  <si>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</si>
  <si>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</si>
  <si>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</si>
  <si>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</si>
  <si>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</si>
  <si>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</si>
  <si>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</si>
  <si>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</si>
  <si>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</si>
  <si>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</si>
  <si>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</si>
  <si>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</si>
  <si>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</si>
  <si>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</si>
  <si>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</si>
  <si>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</si>
  <si>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</si>
  <si>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</si>
  <si>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</si>
  <si>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</si>
  <si>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</si>
  <si>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</si>
  <si>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</si>
  <si>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</si>
  <si>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</si>
  <si>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</si>
  <si>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</si>
  <si>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</si>
  <si>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</si>
  <si>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</si>
  <si>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</si>
  <si>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</si>
  <si>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</si>
  <si>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</si>
  <si>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</si>
  <si>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</si>
  <si>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</si>
  <si>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</si>
  <si>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</si>
  <si>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</si>
  <si>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</si>
  <si>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</si>
  <si>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</si>
  <si>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</si>
  <si>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</si>
  <si>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</si>
  <si>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</si>
  <si>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</si>
  <si>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</si>
  <si>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</si>
  <si>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</si>
  <si>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</si>
  <si>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</si>
  <si>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</si>
  <si>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</si>
  <si>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</si>
  <si>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</si>
  <si>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</si>
  <si>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</si>
  <si>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</si>
  <si>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</si>
  <si>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</si>
  <si>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</si>
  <si>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</si>
  <si>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</si>
  <si>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</si>
  <si>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</si>
  <si>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</si>
  <si>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</si>
  <si>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</si>
  <si>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</si>
  <si>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</si>
  <si>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</si>
  <si>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</si>
  <si>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</si>
  <si>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</si>
  <si>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</si>
  <si>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</si>
  <si>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</si>
  <si>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</si>
  <si>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</si>
  <si>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</si>
  <si>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</si>
  <si>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</si>
  <si>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</si>
  <si>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</si>
  <si>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</si>
  <si>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</si>
  <si>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</si>
  <si>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</si>
  <si>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</si>
  <si>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</si>
  <si>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</si>
  <si>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</si>
  <si>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</si>
  <si>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</si>
  <si>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</si>
  <si>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</si>
  <si>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</si>
  <si>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</si>
  <si>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</si>
  <si>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</si>
  <si>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</si>
  <si>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</si>
  <si>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</si>
  <si>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</si>
  <si>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</si>
  <si>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</si>
  <si>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</si>
  <si>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</si>
  <si>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</si>
  <si>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</si>
  <si>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</si>
  <si>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</si>
  <si>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</si>
  <si>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</si>
  <si>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</si>
  <si>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</si>
  <si>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</si>
  <si>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</si>
  <si>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</si>
  <si>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</si>
  <si>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</si>
  <si>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</si>
  <si>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</si>
  <si>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</si>
  <si>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</si>
  <si>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</si>
  <si>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</si>
  <si>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</si>
  <si>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</si>
  <si>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</si>
  <si>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</si>
  <si>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</si>
  <si>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</si>
  <si>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</si>
  <si>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</si>
  <si>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</si>
  <si>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</si>
  <si>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</si>
  <si>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</si>
  <si>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</si>
  <si>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</si>
  <si>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</si>
  <si>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</si>
  <si>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</si>
  <si>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</si>
  <si>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</si>
  <si>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</si>
  <si>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</si>
  <si>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</si>
  <si>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</si>
  <si>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</si>
  <si>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</si>
  <si>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</si>
  <si>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</si>
  <si>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</si>
  <si>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</si>
  <si>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</si>
  <si>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</si>
  <si>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</si>
  <si>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</si>
  <si>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</si>
  <si>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</si>
  <si>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</si>
  <si>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</si>
  <si>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</si>
  <si>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</si>
  <si>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</si>
  <si>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</si>
  <si>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</si>
  <si>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</si>
  <si>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</si>
  <si>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</si>
  <si>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</si>
  <si>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</si>
  <si>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</si>
  <si>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</si>
  <si>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</si>
  <si>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</si>
  <si>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</si>
  <si>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</si>
  <si>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</si>
  <si>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</si>
  <si>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</si>
  <si>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</si>
  <si>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</si>
  <si>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</si>
  <si>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</si>
  <si>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</si>
  <si>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</si>
  <si>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</si>
  <si>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</si>
  <si>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</si>
  <si>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</si>
  <si>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</si>
  <si>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</si>
  <si>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</si>
  <si>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</si>
  <si>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</si>
  <si>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</si>
  <si>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</si>
  <si>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</si>
  <si>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</si>
  <si>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</si>
  <si>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</si>
  <si>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</si>
  <si>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</si>
  <si>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</si>
  <si>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</si>
  <si>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</si>
  <si>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</si>
  <si>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</si>
  <si>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</si>
  <si>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</si>
  <si>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</si>
  <si>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</si>
  <si>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</si>
  <si>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</si>
  <si>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</si>
  <si>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</si>
  <si>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</si>
  <si>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</si>
  <si>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</si>
  <si>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</si>
  <si>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</si>
  <si>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</si>
  <si>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</si>
  <si>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</si>
  <si>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</si>
  <si>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</si>
  <si>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</si>
  <si>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</si>
  <si>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</si>
  <si>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</si>
  <si>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</si>
  <si>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</si>
  <si>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</si>
  <si>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</si>
  <si>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</si>
  <si>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</si>
  <si>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</si>
  <si>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</si>
  <si>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</si>
  <si>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</si>
  <si>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</si>
  <si>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</si>
  <si>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</si>
  <si>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</si>
  <si>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</si>
  <si>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</si>
  <si>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</si>
  <si>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</si>
  <si>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</si>
  <si>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</si>
  <si>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</si>
  <si>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</si>
  <si>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</si>
  <si>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</si>
  <si>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</si>
  <si>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</si>
  <si>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</si>
  <si>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</si>
  <si>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</si>
  <si>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</si>
  <si>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</si>
  <si>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</si>
  <si>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</si>
  <si>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</si>
  <si>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</si>
  <si>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</si>
  <si>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</si>
  <si>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</si>
  <si>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</si>
  <si>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</si>
  <si>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</si>
  <si>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</si>
  <si>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</si>
  <si>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</si>
  <si>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</si>
  <si>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</si>
  <si>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</si>
  <si>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</si>
  <si>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</si>
  <si>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</si>
  <si>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</si>
  <si>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</si>
  <si>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</si>
  <si>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</si>
  <si>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</si>
  <si>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</si>
  <si>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</si>
  <si>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</si>
  <si>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</si>
  <si>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</si>
  <si>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</si>
  <si>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</si>
  <si>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</si>
  <si>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</si>
  <si>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</si>
  <si>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</si>
  <si>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</si>
  <si>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</si>
  <si>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</si>
  <si>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</si>
  <si>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</si>
  <si>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</si>
  <si>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</si>
  <si>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</si>
  <si>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</si>
  <si>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</si>
  <si>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</si>
  <si>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</si>
  <si>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</si>
  <si>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</si>
  <si>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</si>
  <si>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</si>
  <si>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</si>
  <si>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</si>
  <si>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</si>
  <si>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</si>
  <si>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</si>
  <si>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</si>
  <si>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</si>
  <si>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</si>
  <si>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</si>
  <si>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</si>
  <si>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</si>
  <si>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</si>
  <si>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</si>
  <si>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</si>
  <si>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</si>
  <si>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</si>
  <si>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</si>
  <si>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</si>
  <si>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</si>
  <si>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</si>
  <si>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</si>
  <si>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</si>
  <si>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</si>
  <si>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</si>
  <si>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</si>
  <si>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</si>
  <si>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</si>
  <si>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</si>
  <si>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</si>
  <si>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</si>
  <si>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</si>
  <si>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</si>
  <si>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</si>
  <si>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</si>
  <si>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</si>
  <si>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</si>
  <si>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</si>
  <si>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</si>
  <si>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</si>
  <si>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</si>
  <si>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</si>
  <si>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</si>
  <si>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</si>
  <si>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</si>
  <si>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</si>
  <si>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</si>
  <si>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</si>
  <si>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</si>
  <si>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</si>
  <si>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</si>
  <si>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</si>
  <si>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</si>
  <si>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</si>
  <si>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</si>
  <si>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</si>
  <si>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</si>
  <si>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</si>
  <si>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</si>
  <si>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</si>
  <si>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</si>
  <si>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</si>
  <si>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</si>
  <si>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</si>
  <si>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</si>
  <si>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</si>
  <si>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</si>
  <si>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</si>
  <si>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</si>
  <si>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</si>
  <si>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</si>
  <si>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</si>
  <si>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</si>
  <si>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</si>
  <si>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</si>
  <si>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</si>
  <si>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</si>
  <si>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</si>
  <si>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</si>
  <si>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</si>
  <si>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</si>
  <si>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</si>
  <si>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</si>
  <si>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</si>
  <si>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</si>
  <si>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</si>
  <si>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</si>
  <si>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</si>
  <si>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</si>
  <si>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</si>
  <si>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</si>
  <si>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</si>
  <si>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</si>
  <si>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</si>
  <si>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</si>
  <si>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</si>
  <si>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</si>
  <si>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</si>
  <si>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</si>
  <si>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</si>
  <si>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</si>
  <si>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</si>
  <si>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</si>
  <si>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</si>
  <si>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</si>
  <si>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</si>
  <si>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</si>
  <si>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</si>
  <si>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</si>
  <si>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</si>
  <si>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</si>
  <si>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</si>
  <si>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</si>
  <si>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</si>
  <si>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</si>
  <si>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</si>
  <si>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</si>
  <si>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</si>
  <si>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</si>
  <si>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</si>
  <si>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</si>
  <si>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</si>
  <si>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</si>
  <si>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</si>
  <si>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</si>
  <si>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</si>
  <si>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</si>
  <si>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</si>
  <si>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</si>
  <si>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</si>
  <si>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</si>
  <si>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</si>
  <si>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</si>
  <si>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</si>
  <si>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</si>
  <si>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</si>
  <si>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</si>
  <si>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</si>
  <si>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</si>
  <si>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</si>
  <si>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</si>
  <si>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</si>
  <si>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</si>
  <si>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</si>
  <si>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</si>
  <si>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</si>
  <si>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</si>
  <si>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</si>
  <si>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</si>
  <si>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</si>
  <si>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</si>
  <si>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</si>
  <si>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</si>
  <si>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</si>
  <si>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</si>
  <si>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</si>
  <si>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</si>
  <si>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</si>
  <si>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</si>
  <si>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</si>
  <si>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</si>
  <si>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</si>
  <si>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</si>
  <si>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</si>
  <si>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</si>
  <si>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</si>
  <si>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</si>
  <si>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</si>
  <si>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</si>
  <si>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</si>
  <si>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</si>
  <si>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</si>
  <si>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</si>
  <si>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</si>
  <si>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</si>
  <si>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</si>
  <si>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</si>
  <si>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</si>
  <si>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</si>
  <si>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</si>
  <si>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</si>
  <si>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</si>
  <si>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</si>
  <si>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</si>
  <si>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</si>
  <si>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</si>
  <si>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</si>
  <si>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</si>
  <si>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</si>
  <si>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</si>
  <si>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</si>
  <si>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</si>
  <si>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</si>
  <si>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</si>
  <si>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</si>
  <si>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</si>
  <si>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</si>
  <si>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</si>
  <si>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</si>
  <si>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</si>
  <si>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</si>
  <si>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</si>
  <si>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</si>
  <si>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</si>
  <si>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</si>
  <si>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</si>
  <si>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</si>
  <si>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</si>
  <si>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</si>
  <si>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</si>
  <si>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</si>
  <si>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</si>
  <si>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</si>
  <si>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</si>
  <si>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</si>
  <si>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</si>
  <si>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</si>
  <si>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</si>
  <si>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</si>
  <si>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</si>
  <si>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</si>
  <si>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</si>
  <si>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</si>
  <si>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</si>
  <si>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</si>
  <si>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</si>
  <si>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</si>
  <si>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</si>
  <si>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</si>
  <si>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</si>
  <si>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</si>
  <si>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</si>
  <si>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</si>
  <si>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</si>
  <si>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</si>
  <si>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</si>
  <si>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</si>
  <si>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</si>
  <si>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</si>
  <si>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</si>
  <si>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</si>
  <si>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</si>
  <si>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</si>
  <si>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</si>
  <si>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</si>
  <si>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</si>
  <si>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</si>
  <si>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</si>
  <si>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</si>
  <si>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</si>
  <si>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</si>
  <si>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</si>
  <si>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</si>
  <si>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</si>
  <si>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</si>
  <si>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</si>
  <si>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</si>
  <si>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</si>
  <si>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</si>
  <si>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</si>
  <si>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</si>
  <si>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</si>
  <si>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</si>
  <si>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</si>
  <si>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</si>
  <si>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</si>
  <si>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</si>
  <si>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</si>
  <si>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</si>
  <si>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</si>
  <si>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</si>
  <si>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</si>
  <si>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</si>
  <si>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</si>
  <si>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</si>
  <si>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</si>
  <si>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</si>
  <si>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</si>
  <si>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</si>
  <si>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</si>
  <si>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</si>
  <si>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</si>
  <si>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</si>
  <si>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</si>
  <si>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</si>
  <si>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</si>
  <si>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</si>
  <si>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</si>
  <si>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</si>
  <si>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</si>
  <si>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</si>
  <si>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</si>
  <si>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</si>
  <si>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</si>
  <si>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</si>
  <si>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</si>
  <si>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</si>
  <si>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</si>
  <si>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</si>
  <si>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</si>
  <si>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</si>
  <si>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</si>
  <si>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</si>
  <si>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</si>
  <si>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</si>
  <si>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</si>
  <si>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</si>
  <si>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</si>
  <si>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</si>
  <si>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</si>
  <si>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</si>
  <si>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</si>
  <si>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</si>
  <si>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</si>
  <si>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</si>
  <si>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</si>
  <si>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</si>
  <si>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</si>
  <si>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</si>
  <si>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</si>
  <si>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</si>
  <si>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</si>
  <si>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</si>
  <si>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</si>
  <si>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</si>
  <si>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</si>
  <si>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</si>
  <si>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</si>
  <si>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</si>
  <si>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</si>
  <si>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</si>
  <si>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</si>
  <si>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</si>
  <si>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</si>
  <si>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</si>
  <si>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</si>
  <si>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</si>
  <si>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</si>
  <si>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</si>
  <si>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</si>
  <si>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</si>
  <si>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</si>
  <si>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</si>
  <si>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</si>
  <si>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</si>
  <si>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</si>
  <si>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</si>
  <si>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</si>
  <si>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</si>
  <si>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</si>
  <si>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</si>
  <si>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</si>
  <si>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</si>
  <si>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</si>
  <si>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</si>
  <si>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</si>
  <si>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</si>
  <si>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</si>
  <si>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</si>
  <si>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</si>
  <si>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</si>
  <si>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</si>
  <si>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</si>
  <si>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</si>
  <si>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</si>
  <si>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</si>
  <si>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</si>
  <si>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</si>
  <si>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</si>
  <si>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</si>
  <si>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</si>
  <si>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</si>
  <si>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</si>
  <si>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</si>
  <si>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</si>
  <si>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</si>
  <si>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</si>
  <si>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</si>
  <si>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</si>
  <si>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</si>
  <si>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</si>
  <si>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</si>
  <si>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</si>
  <si>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</si>
  <si>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</si>
  <si>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</si>
  <si>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</si>
  <si>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</si>
  <si>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</si>
  <si>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</si>
  <si>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</si>
  <si>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</si>
  <si>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</si>
  <si>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</si>
  <si>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</si>
  <si>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</si>
  <si>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</si>
  <si>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</si>
  <si>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</si>
  <si>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</si>
  <si>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</si>
  <si>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</si>
  <si>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</si>
  <si>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</si>
  <si>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</si>
  <si>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</si>
  <si>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</si>
  <si>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</si>
  <si>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</si>
  <si>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</si>
  <si>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</si>
  <si>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</si>
  <si>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</si>
  <si>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</si>
  <si>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</si>
  <si>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</si>
  <si>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</si>
  <si>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</si>
  <si>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</si>
  <si>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</si>
  <si>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</si>
  <si>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</si>
  <si>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</si>
  <si>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</si>
  <si>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</si>
  <si>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</si>
  <si>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</si>
  <si>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</si>
  <si>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</si>
  <si>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</si>
  <si>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</si>
  <si>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</si>
  <si>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</si>
  <si>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</si>
  <si>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</si>
  <si>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</si>
  <si>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</si>
  <si>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</si>
  <si>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</si>
  <si>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</si>
  <si>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</si>
  <si>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</si>
  <si>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</si>
  <si>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</si>
  <si>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</si>
  <si>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</si>
  <si>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</si>
  <si>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</si>
  <si>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</si>
  <si>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</si>
  <si>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</si>
  <si>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</si>
  <si>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</si>
  <si>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</si>
  <si>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</si>
  <si>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</si>
  <si>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</si>
  <si>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</si>
  <si>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</si>
  <si>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</si>
  <si>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</si>
  <si>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</si>
  <si>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</si>
  <si>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</si>
  <si>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</si>
  <si>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</si>
  <si>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</si>
  <si>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</si>
  <si>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</si>
  <si>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</si>
  <si>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</si>
  <si>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</si>
  <si>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</si>
  <si>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</si>
  <si>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</si>
  <si>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</si>
  <si>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</si>
  <si>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</si>
  <si>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</si>
  <si>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</si>
  <si>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</si>
  <si>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</si>
  <si>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</si>
  <si>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</si>
  <si>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</si>
  <si>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</si>
  <si>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</si>
  <si>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</si>
  <si>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</si>
  <si>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</si>
  <si>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</si>
  <si>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</si>
  <si>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</si>
  <si>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</si>
  <si>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</si>
  <si>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</si>
  <si>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</si>
  <si>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</si>
  <si>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</si>
  <si>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</si>
  <si>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</si>
  <si>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</si>
  <si>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</si>
  <si>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</si>
  <si>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</si>
  <si>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</si>
  <si>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</si>
  <si>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</si>
  <si>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</si>
  <si>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</si>
  <si>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</si>
  <si>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</si>
  <si>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</si>
  <si>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</si>
  <si>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</si>
  <si>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</si>
  <si>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</si>
  <si>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</si>
  <si>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</si>
  <si>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</si>
  <si>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</si>
  <si>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</si>
  <si>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</si>
  <si>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</si>
  <si>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</si>
  <si>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</si>
  <si>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</si>
  <si>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</si>
  <si>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</si>
  <si>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</si>
  <si>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</si>
  <si>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</si>
  <si>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</si>
  <si>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</si>
  <si>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</si>
  <si>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</si>
  <si>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</si>
  <si>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</si>
  <si>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</si>
  <si>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</si>
  <si>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</si>
  <si>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</si>
  <si>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</si>
  <si>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</si>
  <si>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</si>
  <si>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</si>
  <si>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</si>
  <si>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</si>
  <si>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</si>
  <si>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</si>
  <si>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</si>
  <si>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</si>
  <si>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</si>
  <si>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</si>
  <si>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</si>
  <si>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</si>
  <si>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</si>
  <si>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</si>
  <si>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</si>
  <si>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</si>
  <si>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</si>
  <si>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</si>
  <si>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</si>
  <si>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</si>
  <si>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</si>
  <si>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</si>
  <si>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</si>
  <si>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</si>
  <si>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</si>
  <si>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</si>
  <si>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</si>
  <si>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</si>
  <si>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</si>
  <si>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</si>
  <si>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</si>
  <si>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</si>
  <si>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</si>
  <si>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</si>
  <si>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</si>
  <si>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</si>
  <si>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</si>
  <si>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</si>
  <si>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</si>
  <si>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</si>
  <si>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</si>
  <si>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</si>
  <si>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</si>
  <si>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</si>
  <si>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</si>
  <si>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</si>
  <si>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</si>
  <si>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</si>
  <si>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</si>
  <si>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</si>
  <si>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</si>
  <si>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</si>
  <si>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</si>
  <si>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</si>
  <si>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</si>
  <si>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</si>
  <si>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</si>
  <si>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</si>
  <si>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</si>
  <si>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</si>
  <si>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</si>
  <si>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</si>
  <si>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</si>
  <si>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</si>
  <si>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</si>
  <si>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</si>
  <si>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</si>
  <si>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</si>
  <si>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</si>
  <si>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</si>
  <si>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</si>
  <si>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</si>
  <si>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</si>
  <si>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</si>
  <si>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</si>
  <si>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</si>
  <si>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</si>
  <si>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</si>
  <si>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</si>
  <si>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</si>
  <si>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</si>
  <si>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</si>
  <si>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</si>
  <si>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</si>
  <si>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</si>
  <si>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</si>
  <si>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</si>
  <si>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</si>
  <si>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</si>
  <si>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</si>
  <si>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</si>
  <si>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</si>
  <si>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</si>
  <si>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</si>
  <si>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</si>
  <si>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</si>
  <si>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</si>
  <si>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</si>
  <si>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</si>
  <si>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</si>
  <si>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</si>
  <si>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</si>
  <si>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</si>
  <si>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</si>
  <si>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</si>
  <si>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</si>
  <si>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</si>
  <si>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</si>
  <si>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</si>
  <si>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</si>
  <si>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</si>
  <si>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</si>
  <si>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</si>
  <si>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</si>
  <si>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</si>
  <si>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</si>
  <si>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</si>
  <si>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</si>
  <si>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</si>
  <si>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</si>
  <si>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</si>
  <si>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</si>
  <si>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</si>
  <si>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</si>
  <si>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</si>
  <si>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</si>
  <si>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</si>
  <si>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</si>
  <si>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</si>
  <si>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</si>
  <si>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</si>
  <si>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</si>
  <si>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</si>
  <si>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</si>
  <si>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</si>
  <si>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</si>
  <si>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</si>
  <si>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</si>
  <si>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</si>
  <si>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</si>
  <si>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</si>
  <si>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</si>
  <si>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</si>
  <si>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</si>
  <si>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</si>
  <si>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</si>
  <si>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</si>
  <si>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</si>
  <si>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</si>
  <si>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</si>
  <si>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</si>
  <si>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</si>
  <si>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</si>
  <si>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</si>
  <si>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</si>
  <si>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</si>
  <si>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</si>
  <si>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</si>
  <si>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</si>
  <si>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</si>
  <si>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</si>
  <si>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</si>
  <si>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</si>
  <si>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</si>
  <si>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</si>
  <si>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</si>
  <si>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</si>
  <si>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</si>
  <si>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</si>
  <si>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</si>
  <si>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</si>
  <si>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</si>
  <si>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</si>
  <si>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</si>
  <si>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</si>
  <si>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</si>
  <si>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</si>
  <si>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</si>
  <si>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</si>
  <si>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</si>
  <si>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</si>
  <si>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</si>
  <si>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</si>
  <si>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</si>
  <si>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</si>
  <si>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</si>
  <si>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</si>
  <si>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</si>
  <si>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</si>
  <si>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</si>
  <si>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</si>
  <si>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</si>
  <si>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</si>
  <si>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</si>
  <si>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</si>
  <si>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</si>
  <si>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</si>
  <si>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</si>
  <si>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</si>
  <si>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</si>
  <si>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</si>
  <si>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</si>
  <si>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</si>
  <si>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</si>
  <si>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</si>
  <si>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</si>
  <si>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</si>
  <si>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</si>
  <si>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</si>
  <si>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</si>
  <si>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</si>
  <si>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</si>
  <si>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</si>
  <si>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</si>
  <si>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</si>
  <si>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</si>
  <si>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</si>
  <si>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</si>
  <si>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</si>
  <si>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</si>
  <si>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</si>
  <si>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</si>
  <si>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</si>
  <si>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</si>
  <si>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</si>
  <si>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</si>
  <si>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</si>
  <si>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</si>
  <si>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</si>
  <si>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</si>
  <si>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</si>
  <si>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</si>
  <si>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</si>
  <si>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</si>
  <si>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</si>
  <si>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</si>
  <si>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</si>
  <si>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</si>
  <si>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</si>
  <si>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</si>
  <si>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</si>
  <si>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</si>
  <si>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</si>
  <si>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</si>
  <si>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</si>
  <si>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</si>
  <si>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</si>
  <si>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</si>
  <si>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</si>
  <si>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</si>
  <si>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</si>
  <si>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</si>
  <si>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</si>
  <si>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</si>
  <si>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</si>
  <si>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</si>
  <si>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</si>
  <si>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</si>
  <si>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</si>
  <si>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</si>
  <si>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</si>
  <si>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</si>
  <si>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</si>
  <si>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</si>
  <si>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</si>
  <si>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</si>
  <si>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</si>
  <si>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</si>
  <si>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</si>
  <si>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</si>
  <si>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</si>
  <si>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</si>
  <si>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</si>
  <si>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</si>
  <si>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</si>
  <si>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</si>
  <si>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</si>
  <si>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</si>
  <si>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</si>
  <si>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</si>
  <si>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</si>
  <si>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</si>
  <si>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</si>
  <si>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</si>
  <si>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</si>
  <si>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</si>
  <si>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</si>
  <si>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</si>
  <si>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</si>
  <si>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</si>
  <si>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</si>
  <si>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</si>
  <si>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</si>
  <si>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</si>
  <si>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</si>
  <si>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</si>
  <si>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</si>
  <si>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</si>
  <si>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</si>
  <si>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</si>
  <si>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</si>
  <si>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</si>
  <si>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</si>
  <si>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</si>
  <si>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</si>
  <si>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</si>
  <si>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</si>
  <si>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</si>
  <si>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</si>
  <si>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</si>
  <si>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</si>
  <si>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</si>
  <si>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</si>
  <si>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</si>
  <si>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</si>
  <si>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</si>
  <si>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</si>
  <si>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</si>
  <si>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</si>
  <si>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</si>
  <si>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</si>
  <si>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</si>
  <si>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</si>
  <si>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</si>
  <si>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</si>
  <si>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</si>
  <si>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</si>
  <si>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</si>
  <si>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</si>
  <si>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</si>
  <si>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</si>
  <si>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</si>
  <si>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</si>
  <si>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</si>
  <si>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</si>
  <si>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</si>
  <si>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</si>
  <si>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</si>
  <si>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</si>
  <si>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</si>
  <si>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</si>
  <si>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</si>
  <si>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</si>
  <si>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</si>
  <si>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</si>
  <si>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</si>
  <si>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</si>
  <si>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</si>
  <si>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</si>
  <si>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</si>
  <si>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</si>
  <si>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</si>
  <si>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</si>
  <si>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</si>
  <si>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</si>
  <si>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</si>
  <si>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</si>
  <si>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</si>
  <si>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</si>
  <si>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</si>
  <si>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</si>
  <si>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</si>
  <si>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</si>
  <si>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</si>
  <si>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</si>
  <si>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</si>
  <si>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</si>
  <si>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</si>
  <si>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</si>
  <si>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</si>
  <si>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</si>
  <si>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</si>
  <si>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</si>
  <si>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</si>
  <si>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</si>
  <si>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</si>
  <si>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</si>
  <si>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</si>
  <si>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</si>
  <si>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</si>
  <si>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</si>
  <si>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</si>
  <si>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</si>
  <si>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</si>
  <si>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</si>
  <si>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</si>
  <si>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</si>
  <si>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</si>
  <si>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</si>
  <si>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</si>
  <si>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</si>
  <si>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</si>
  <si>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</si>
  <si>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</si>
  <si>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</si>
  <si>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</si>
  <si>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</si>
  <si>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</si>
  <si>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</si>
  <si>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</si>
  <si>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</si>
  <si>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</si>
  <si>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</si>
  <si>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</si>
  <si>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</si>
  <si>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</si>
  <si>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</si>
  <si>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</si>
  <si>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</si>
  <si>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</si>
  <si>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</si>
  <si>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</si>
  <si>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</si>
  <si>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</si>
  <si>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</si>
  <si>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</si>
  <si>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</si>
  <si>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</si>
  <si>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</si>
  <si>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</si>
  <si>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</si>
  <si>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</si>
  <si>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</si>
  <si>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</si>
  <si>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</si>
  <si>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</si>
  <si>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</si>
  <si>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</si>
  <si>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</si>
  <si>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</si>
  <si>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</si>
  <si>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</si>
  <si>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</si>
  <si>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</si>
  <si>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</si>
  <si>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</si>
  <si>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</si>
  <si>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</si>
  <si>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</si>
  <si>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</si>
  <si>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</si>
  <si>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</si>
  <si>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</si>
  <si>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</si>
  <si>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</si>
  <si>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</si>
  <si>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</si>
  <si>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</si>
  <si>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</si>
  <si>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</si>
  <si>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</si>
  <si>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</si>
  <si>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</si>
  <si>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</si>
  <si>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</si>
  <si>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</si>
  <si>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</si>
  <si>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</si>
  <si>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</si>
  <si>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</si>
  <si>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</si>
  <si>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</si>
  <si>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</si>
  <si>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</si>
  <si>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</si>
  <si>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</si>
  <si>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</si>
  <si>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</si>
  <si>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</si>
  <si>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</si>
  <si>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</si>
  <si>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</si>
  <si>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</si>
  <si>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</si>
  <si>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</si>
  <si>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</si>
  <si>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</si>
  <si>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</si>
  <si>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</si>
  <si>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</si>
  <si>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</si>
  <si>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</si>
  <si>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</si>
  <si>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</si>
  <si>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</si>
  <si>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</si>
  <si>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</si>
  <si>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</si>
  <si>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</si>
  <si>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</si>
  <si>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</si>
  <si>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</si>
  <si>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</si>
  <si>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</si>
  <si>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</si>
  <si>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</si>
  <si>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</si>
  <si>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</si>
  <si>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</si>
  <si>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</si>
  <si>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</si>
  <si>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</si>
  <si>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</si>
  <si>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</si>
  <si>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</si>
  <si>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</si>
  <si>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</si>
  <si>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</si>
  <si>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</si>
  <si>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</si>
  <si>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</si>
  <si>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</si>
  <si>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</si>
  <si>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</si>
  <si>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</si>
  <si>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</si>
  <si>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</si>
  <si>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</si>
  <si>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</si>
  <si>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</si>
  <si>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</si>
  <si>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</si>
  <si>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</si>
  <si>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</si>
  <si>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</si>
  <si>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</si>
  <si>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</si>
  <si>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</si>
  <si>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</si>
  <si>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</si>
  <si>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</si>
  <si>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</si>
  <si>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</si>
  <si>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</si>
  <si>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</si>
  <si>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</si>
  <si>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</si>
  <si>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</si>
  <si>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</si>
  <si>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</si>
  <si>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</si>
  <si>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</si>
  <si>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</si>
  <si>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</si>
  <si>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</si>
  <si>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</si>
  <si>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</si>
  <si>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</si>
  <si>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</si>
  <si>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</si>
  <si>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</si>
  <si>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</si>
  <si>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</si>
  <si>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</si>
  <si>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</si>
  <si>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</si>
  <si>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</si>
  <si>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</si>
  <si>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</si>
  <si>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</si>
  <si>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</si>
  <si>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</si>
  <si>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</si>
  <si>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</si>
  <si>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</si>
  <si>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</si>
  <si>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</si>
  <si>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</si>
  <si>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</si>
  <si>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</si>
  <si>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</si>
  <si>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</si>
  <si>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</si>
  <si>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</si>
  <si>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</si>
  <si>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</si>
  <si>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</si>
  <si>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</si>
  <si>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</si>
  <si>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</si>
  <si>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</si>
  <si>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</si>
  <si>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</si>
  <si>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</si>
  <si>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</si>
  <si>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</si>
  <si>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</si>
  <si>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</si>
  <si>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</si>
  <si>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</si>
  <si>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</si>
  <si>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</si>
  <si>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</si>
  <si>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</si>
  <si>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</si>
  <si>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</si>
  <si>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</si>
  <si>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</si>
  <si>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</si>
  <si>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</si>
  <si>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</si>
  <si>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</si>
  <si>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</si>
  <si>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</si>
  <si>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</si>
  <si>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</si>
  <si>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</si>
  <si>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</si>
  <si>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</si>
  <si>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</si>
  <si>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</si>
  <si>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</si>
  <si>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</si>
  <si>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</si>
  <si>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</si>
  <si>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</si>
  <si>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</si>
  <si>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</si>
  <si>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</si>
  <si>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</si>
  <si>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</si>
  <si>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</si>
  <si>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</si>
  <si>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</si>
  <si>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</si>
  <si>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</si>
  <si>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</si>
  <si>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</si>
  <si>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</si>
  <si>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</si>
  <si>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</si>
  <si>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</si>
  <si>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</si>
  <si>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</si>
  <si>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</si>
  <si>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</si>
  <si>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</si>
  <si>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</si>
  <si>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</si>
  <si>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</si>
  <si>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</si>
  <si>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</si>
  <si>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</si>
  <si>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</si>
  <si>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</si>
  <si>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</si>
  <si>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</si>
  <si>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</si>
  <si>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</si>
  <si>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</si>
  <si>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</si>
  <si>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</si>
  <si>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</si>
  <si>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</si>
  <si>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</si>
  <si>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</si>
  <si>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</si>
  <si>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</si>
  <si>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</si>
  <si>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</si>
  <si>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</si>
  <si>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</si>
  <si>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</si>
  <si>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</si>
  <si>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</si>
  <si>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</si>
  <si>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</si>
  <si>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</si>
  <si>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</si>
  <si>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</si>
  <si>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</si>
  <si>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</si>
  <si>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</si>
  <si>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</si>
  <si>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</si>
  <si>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</si>
  <si>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</si>
  <si>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</si>
  <si>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</si>
  <si>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</si>
  <si>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</si>
  <si>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</si>
  <si>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</si>
  <si>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</si>
  <si>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</si>
  <si>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</si>
  <si>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</si>
  <si>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</si>
  <si>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</si>
  <si>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</si>
  <si>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</si>
  <si>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</si>
  <si>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</si>
  <si>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</si>
  <si>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</si>
  <si>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</si>
  <si>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</si>
  <si>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</si>
  <si>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</si>
  <si>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</si>
  <si>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</si>
  <si>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</si>
  <si>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</si>
  <si>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</si>
  <si>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</si>
  <si>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</si>
  <si>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</si>
  <si>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</si>
  <si>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</si>
  <si>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</si>
  <si>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</si>
  <si>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</si>
  <si>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</si>
  <si>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</si>
  <si>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</si>
  <si>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</si>
  <si>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</si>
  <si>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</si>
  <si>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</si>
  <si>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</si>
  <si>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</si>
  <si>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</si>
  <si>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</si>
  <si>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</si>
  <si>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</si>
  <si>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</si>
  <si>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</si>
  <si>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</si>
  <si>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</si>
  <si>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</si>
  <si>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</si>
  <si>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</si>
  <si>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</si>
  <si>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</si>
  <si>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</si>
  <si>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</si>
  <si>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</si>
  <si>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</si>
  <si>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</si>
  <si>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</si>
  <si>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</si>
  <si>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</si>
  <si>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</si>
  <si>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</si>
  <si>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</si>
  <si>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</si>
  <si>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</si>
  <si>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</si>
  <si>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</si>
  <si>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</si>
  <si>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</si>
  <si>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</si>
  <si>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</si>
  <si>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</si>
  <si>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</si>
  <si>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</si>
  <si>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</si>
  <si>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</si>
  <si>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</si>
  <si>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</si>
  <si>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</si>
  <si>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</si>
  <si>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</si>
  <si>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</si>
  <si>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</si>
  <si>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</si>
  <si>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</si>
  <si>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</si>
  <si>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</si>
  <si>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</si>
  <si>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</si>
  <si>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</si>
  <si>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</si>
  <si>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</si>
  <si>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</si>
  <si>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</si>
  <si>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</si>
  <si>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</si>
  <si>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</si>
  <si>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</si>
  <si>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</si>
  <si>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</si>
  <si>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</si>
  <si>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</si>
  <si>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</si>
  <si>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</si>
  <si>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</si>
  <si>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</si>
  <si>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</si>
  <si>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</si>
  <si>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</si>
  <si>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</si>
  <si>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</si>
  <si>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</si>
  <si>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</si>
  <si>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</si>
  <si>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</si>
  <si>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</si>
  <si>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</si>
  <si>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</si>
  <si>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</si>
  <si>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</si>
  <si>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</si>
  <si>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</si>
  <si>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</si>
  <si>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</si>
  <si>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</si>
  <si>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</si>
  <si>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</si>
  <si>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</si>
  <si>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</si>
  <si>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</si>
  <si>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</si>
  <si>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</si>
  <si>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</si>
  <si>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</si>
  <si>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</si>
  <si>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</si>
  <si>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</si>
  <si>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</si>
  <si>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</si>
  <si>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</si>
  <si>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</si>
  <si>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</si>
  <si>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</si>
  <si>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</si>
  <si>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</si>
  <si>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</si>
  <si>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</si>
  <si>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</si>
  <si>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</si>
  <si>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</si>
  <si>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</si>
  <si>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</si>
  <si>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</si>
  <si>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</si>
  <si>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</si>
  <si>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</si>
  <si>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</si>
  <si>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</si>
  <si>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</si>
  <si>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</si>
  <si>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</si>
  <si>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</si>
  <si>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</si>
  <si>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</si>
  <si>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</si>
  <si>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</si>
  <si>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</si>
  <si>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</si>
  <si>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</si>
  <si>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</si>
  <si>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</si>
  <si>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</si>
  <si>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</si>
  <si>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</si>
  <si>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</si>
  <si>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</si>
  <si>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</si>
  <si>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</si>
  <si>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</si>
  <si>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</si>
  <si>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</si>
  <si>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</si>
  <si>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</si>
  <si>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</si>
  <si>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</si>
  <si>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</si>
  <si>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</si>
  <si>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</si>
  <si>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</si>
  <si>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</si>
  <si>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</si>
  <si>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</si>
  <si>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</si>
  <si>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</si>
  <si>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</si>
  <si>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</si>
  <si>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</si>
  <si>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</si>
  <si>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</si>
  <si>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</si>
  <si>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</si>
  <si>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</si>
  <si>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</si>
  <si>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</si>
  <si>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</si>
  <si>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</si>
  <si>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</si>
  <si>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</si>
  <si>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</si>
  <si>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</si>
  <si>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</si>
  <si>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</si>
  <si>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</si>
  <si>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</si>
  <si>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</si>
  <si>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</si>
  <si>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</si>
  <si>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</si>
  <si>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</si>
  <si>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</si>
  <si>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</si>
  <si>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</si>
  <si>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</si>
  <si>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</si>
  <si>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</si>
  <si>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</si>
  <si>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</si>
  <si>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</si>
  <si>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</si>
  <si>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</si>
  <si>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</si>
  <si>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</si>
  <si>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</si>
  <si>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</si>
  <si>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</si>
  <si>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</si>
  <si>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</si>
  <si>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</si>
  <si>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</si>
  <si>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</si>
  <si>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</si>
  <si>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</si>
  <si>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</si>
  <si>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</si>
  <si>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</si>
  <si>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</si>
  <si>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</si>
  <si>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</si>
  <si>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</si>
  <si>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</si>
  <si>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</si>
  <si>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</si>
  <si>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</si>
  <si>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</si>
  <si>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</si>
  <si>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</si>
  <si>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</si>
  <si>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</si>
  <si>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</si>
  <si>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</si>
  <si>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</si>
  <si>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</si>
  <si>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</si>
  <si>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</si>
  <si>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</si>
  <si>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</si>
  <si>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</si>
  <si>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</si>
  <si>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</si>
  <si>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</si>
  <si>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</si>
  <si>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</si>
  <si>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</si>
  <si>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</si>
  <si>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</si>
  <si>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</si>
  <si>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</si>
  <si>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</si>
  <si>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</si>
  <si>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</si>
  <si>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</si>
  <si>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</si>
  <si>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</si>
  <si>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</si>
  <si>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</si>
  <si>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</si>
  <si>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</si>
  <si>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</si>
  <si>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</si>
  <si>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</si>
  <si>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</si>
  <si>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</si>
  <si>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</si>
  <si>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</si>
  <si>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</si>
  <si>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</si>
  <si>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</si>
  <si>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</si>
  <si>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</si>
  <si>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</si>
  <si>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</si>
  <si>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</si>
  <si>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</si>
  <si>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</si>
  <si>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</si>
  <si>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</si>
  <si>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</si>
  <si>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</si>
  <si>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</si>
  <si>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</si>
  <si>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</si>
  <si>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</si>
  <si>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</si>
  <si>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</si>
  <si>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</si>
  <si>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</si>
  <si>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</si>
  <si>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</si>
  <si>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</si>
  <si>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</si>
  <si>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</si>
  <si>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</si>
  <si>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</si>
  <si>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</si>
  <si>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</si>
  <si>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</si>
  <si>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</si>
  <si>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</si>
  <si>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</si>
  <si>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</si>
  <si>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</si>
  <si>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</si>
  <si>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</si>
  <si>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</si>
  <si>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</si>
  <si>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</si>
  <si>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</si>
  <si>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</si>
  <si>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</si>
  <si>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</si>
  <si>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</si>
  <si>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</si>
  <si>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</si>
  <si>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</si>
  <si>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</si>
  <si>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</si>
  <si>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</si>
  <si>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</si>
  <si>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</si>
  <si>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</si>
  <si>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</si>
  <si>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</si>
  <si>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</si>
  <si>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</si>
  <si>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</si>
  <si>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</si>
  <si>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</si>
  <si>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</si>
  <si>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</si>
  <si>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</si>
  <si>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</si>
  <si>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</si>
  <si>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</si>
  <si>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</si>
  <si>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</si>
  <si>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</si>
  <si>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</si>
  <si>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</si>
  <si>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</si>
  <si>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</si>
  <si>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</si>
  <si>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</si>
  <si>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</si>
  <si>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</si>
  <si>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</si>
  <si>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</si>
  <si>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</si>
  <si>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</si>
  <si>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</si>
  <si>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</si>
  <si>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</si>
  <si>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</si>
  <si>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</si>
  <si>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</si>
  <si>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</si>
  <si>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</si>
  <si>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</si>
  <si>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</si>
  <si>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</si>
  <si>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</si>
  <si>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</si>
  <si>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</si>
  <si>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</si>
  <si>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</si>
  <si>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</si>
  <si>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</si>
  <si>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</si>
  <si>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</si>
  <si>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</si>
  <si>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</si>
  <si>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</si>
  <si>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</si>
  <si>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</si>
  <si>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</si>
  <si>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</si>
  <si>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</si>
  <si>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</si>
  <si>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</si>
  <si>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</si>
  <si>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</si>
  <si>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</si>
  <si>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</si>
  <si>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</si>
  <si>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</si>
  <si>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</si>
  <si>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</si>
  <si>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</si>
  <si>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</si>
  <si>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</si>
  <si>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</si>
  <si>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</si>
  <si>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</si>
  <si>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</si>
  <si>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</si>
  <si>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</si>
  <si>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</si>
  <si>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</si>
  <si>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</si>
  <si>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</si>
  <si>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</si>
  <si>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</si>
  <si>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</si>
  <si>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</si>
  <si>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</si>
  <si>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</si>
  <si>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</si>
  <si>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</si>
  <si>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</si>
  <si>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</si>
  <si>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</si>
  <si>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</si>
  <si>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</si>
  <si>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</si>
  <si>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</si>
  <si>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</si>
  <si>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</si>
  <si>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</si>
  <si>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</si>
  <si>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</si>
  <si>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</si>
  <si>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</si>
  <si>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</si>
  <si>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</si>
  <si>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</si>
  <si>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</si>
  <si>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</si>
  <si>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</si>
  <si>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</si>
  <si>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</si>
  <si>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</si>
  <si>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</si>
  <si>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</si>
  <si>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</si>
  <si>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</si>
  <si>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</si>
  <si>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</si>
  <si>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</si>
  <si>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</si>
  <si>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</si>
  <si>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</si>
  <si>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</si>
  <si>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</si>
  <si>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</si>
  <si>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</si>
  <si>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</si>
  <si>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</si>
  <si>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</si>
  <si>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</si>
  <si>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</si>
  <si>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</si>
  <si>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</si>
  <si>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</si>
  <si>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</si>
  <si>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</si>
  <si>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</si>
  <si>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</si>
  <si>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</si>
  <si>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</si>
  <si>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</si>
  <si>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</si>
  <si>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</si>
  <si>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</si>
  <si>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</si>
  <si>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</si>
  <si>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</si>
  <si>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</si>
  <si>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</si>
  <si>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</si>
  <si>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</si>
  <si>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</si>
  <si>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</si>
  <si>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</si>
  <si>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</si>
  <si>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</si>
  <si>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</si>
  <si>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</si>
  <si>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</si>
  <si>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</si>
  <si>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</si>
  <si>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</si>
  <si>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</si>
  <si>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</si>
  <si>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</si>
  <si>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</si>
  <si>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</si>
  <si>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</si>
  <si>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</si>
  <si>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</si>
  <si>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</si>
  <si>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</si>
  <si>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</si>
  <si>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</si>
  <si>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</si>
  <si>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</si>
  <si>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</si>
  <si>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</si>
  <si>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</si>
  <si>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</si>
  <si>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</si>
  <si>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</si>
  <si>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</si>
  <si>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</si>
  <si>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</si>
  <si>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</si>
  <si>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</si>
  <si>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</si>
  <si>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</si>
  <si>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</si>
  <si>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</si>
  <si>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</si>
  <si>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</si>
  <si>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</si>
  <si>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</si>
  <si>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</si>
  <si>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</si>
  <si>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</si>
  <si>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</si>
  <si>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</si>
  <si>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</si>
  <si>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</si>
  <si>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</si>
  <si>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</si>
  <si>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</si>
  <si>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</si>
  <si>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</si>
  <si>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</si>
  <si>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</si>
  <si>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</si>
  <si>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</si>
  <si>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</si>
  <si>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</si>
  <si>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</si>
  <si>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</si>
  <si>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</si>
  <si>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</si>
  <si>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</si>
  <si>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</si>
  <si>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</si>
  <si>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</si>
  <si>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</si>
  <si>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</si>
  <si>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</si>
  <si>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</si>
  <si>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</si>
  <si>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</si>
  <si>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</si>
  <si>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</si>
  <si>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</si>
  <si>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</si>
  <si>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</si>
  <si>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</si>
  <si>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</si>
  <si>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</si>
  <si>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</si>
  <si>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</si>
  <si>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</si>
  <si>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</si>
  <si>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</si>
  <si>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</si>
  <si>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</si>
  <si>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</si>
  <si>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</si>
  <si>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</si>
  <si>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</si>
  <si>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</si>
  <si>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</si>
  <si>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</si>
  <si>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</si>
  <si>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</si>
  <si>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</si>
  <si>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</si>
  <si>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</si>
  <si>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</si>
  <si>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</si>
  <si>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</si>
  <si>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</si>
  <si>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</si>
  <si>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</si>
  <si>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</si>
  <si>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</si>
  <si>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</si>
  <si>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</si>
  <si>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</si>
  <si>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</si>
  <si>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</si>
  <si>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</si>
  <si>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</si>
  <si>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</si>
  <si>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</si>
  <si>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</si>
  <si>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</si>
  <si>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</si>
  <si>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</si>
  <si>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</si>
  <si>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</si>
  <si>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</si>
  <si>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</si>
  <si>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</si>
  <si>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</si>
  <si>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</si>
  <si>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</si>
  <si>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</si>
  <si>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</si>
  <si>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</si>
  <si>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</si>
  <si>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</si>
  <si>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</si>
  <si>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</si>
  <si>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</si>
  <si>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</si>
  <si>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</si>
  <si>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</si>
  <si>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</si>
  <si>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</si>
  <si>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</si>
  <si>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</si>
  <si>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</si>
  <si>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</si>
  <si>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</si>
  <si>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</si>
  <si>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</si>
  <si>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</si>
  <si>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</si>
  <si>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</si>
  <si>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</si>
  <si>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</si>
  <si>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</si>
  <si>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</si>
  <si>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</si>
  <si>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</si>
  <si>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</si>
  <si>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</si>
  <si>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</si>
  <si>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</si>
  <si>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</si>
  <si>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</si>
  <si>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</si>
  <si>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</si>
  <si>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</si>
  <si>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</si>
  <si>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</si>
  <si>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</si>
  <si>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</si>
  <si>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</si>
  <si>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</si>
  <si>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</si>
  <si>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</si>
  <si>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</si>
  <si>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</si>
  <si>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</si>
  <si>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</si>
  <si>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</si>
  <si>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</si>
  <si>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</si>
  <si>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</si>
  <si>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</si>
  <si>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</si>
  <si>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</si>
  <si>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</si>
  <si>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</si>
  <si>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</si>
  <si>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</si>
  <si>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</si>
  <si>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</si>
  <si>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</si>
  <si>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</si>
  <si>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</si>
  <si>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</si>
  <si>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</si>
  <si>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</si>
  <si>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</si>
  <si>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</si>
  <si>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</si>
  <si>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</si>
  <si>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</si>
  <si>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</si>
  <si>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</si>
  <si>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</si>
  <si>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</si>
  <si>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</si>
  <si>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</si>
  <si>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</si>
  <si>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</si>
  <si>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</si>
  <si>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</si>
  <si>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</si>
  <si>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</si>
  <si>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</si>
  <si>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</si>
  <si>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</si>
  <si>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</si>
  <si>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</si>
  <si>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</si>
  <si>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</si>
  <si>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</si>
  <si>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</si>
  <si>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</si>
  <si>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</si>
  <si>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</si>
  <si>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</si>
  <si>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</si>
  <si>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</si>
  <si>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</si>
  <si>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</si>
  <si>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</si>
  <si>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</si>
  <si>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</si>
  <si>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</si>
  <si>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</si>
  <si>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</si>
  <si>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</si>
  <si>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</si>
  <si>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</si>
  <si>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</si>
  <si>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</si>
  <si>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</si>
  <si>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</si>
  <si>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</si>
  <si>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</si>
  <si>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</si>
  <si>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</si>
  <si>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</si>
  <si>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</si>
  <si>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</si>
  <si>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</si>
  <si>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</si>
  <si>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</si>
  <si>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</si>
  <si>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</si>
  <si>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</si>
  <si>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</si>
  <si>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</si>
  <si>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</si>
  <si>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</si>
  <si>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</si>
  <si>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</si>
  <si>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</si>
  <si>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</si>
  <si>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</si>
  <si>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</si>
  <si>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</si>
  <si>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</si>
  <si>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</si>
  <si>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</si>
  <si>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</si>
  <si>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</si>
  <si>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</si>
  <si>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</si>
  <si>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</si>
  <si>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</si>
  <si>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</si>
  <si>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</si>
  <si>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</si>
  <si>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</si>
  <si>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</si>
  <si>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</si>
  <si>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</si>
  <si>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</si>
  <si>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</si>
  <si>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</si>
  <si>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</si>
  <si>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</si>
  <si>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</si>
  <si>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</si>
  <si>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</si>
  <si>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</si>
  <si>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</si>
  <si>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</si>
  <si>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</si>
  <si>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</si>
  <si>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</si>
  <si>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</si>
  <si>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</si>
  <si>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</si>
  <si>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</si>
  <si>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</si>
  <si>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</si>
  <si>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</si>
  <si>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</si>
  <si>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</si>
  <si>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</si>
  <si>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</si>
  <si>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</si>
  <si>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</si>
  <si>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</si>
  <si>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</si>
  <si>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</si>
  <si>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</si>
  <si>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</si>
  <si>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</si>
  <si>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</si>
  <si>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</si>
  <si>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</si>
  <si>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</si>
  <si>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</si>
  <si>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</si>
  <si>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</si>
  <si>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</si>
  <si>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</si>
  <si>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</si>
  <si>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</si>
  <si>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</si>
  <si>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</si>
  <si>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</si>
  <si>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</si>
  <si>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</si>
  <si>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</si>
  <si>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</si>
  <si>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</si>
  <si>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</si>
  <si>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</si>
  <si>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</si>
  <si>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</si>
  <si>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</si>
  <si>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</si>
  <si>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</si>
  <si>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</si>
  <si>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</si>
  <si>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</si>
  <si>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</si>
  <si>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</si>
  <si>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</si>
  <si>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</si>
  <si>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</si>
  <si>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</si>
  <si>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</si>
  <si>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</si>
  <si>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</si>
  <si>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</si>
  <si>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</si>
  <si>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</si>
  <si>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</si>
  <si>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</si>
  <si>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</si>
  <si>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</si>
  <si>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</si>
  <si>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</si>
  <si>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</si>
  <si>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</si>
  <si>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</si>
  <si>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</si>
  <si>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</si>
  <si>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</si>
  <si>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</si>
  <si>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</si>
  <si>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</si>
  <si>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</si>
  <si>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</si>
  <si>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</si>
  <si>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</si>
  <si>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</si>
  <si>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</si>
  <si>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</si>
  <si>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</si>
  <si>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</si>
  <si>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</si>
  <si>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</si>
  <si>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</si>
  <si>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</si>
  <si>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</si>
  <si>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</si>
  <si>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</si>
  <si>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</si>
  <si>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</si>
  <si>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</si>
  <si>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</si>
  <si>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</si>
  <si>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</si>
  <si>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</si>
  <si>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</si>
  <si>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</si>
  <si>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</si>
  <si>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</si>
  <si>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</si>
  <si>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</si>
  <si>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</si>
  <si>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</si>
  <si>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</si>
  <si>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</si>
  <si>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</si>
  <si>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</si>
  <si>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</si>
  <si>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</si>
  <si>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</si>
  <si>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</si>
  <si>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</si>
  <si>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</si>
  <si>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</si>
  <si>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</si>
  <si>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</si>
  <si>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</si>
  <si>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</si>
  <si>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</si>
  <si>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</si>
  <si>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</si>
  <si>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</si>
  <si>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</si>
  <si>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</si>
  <si>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</si>
  <si>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</si>
  <si>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</si>
  <si>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</si>
  <si>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</si>
  <si>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</si>
  <si>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</si>
  <si>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</si>
  <si>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</si>
  <si>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</si>
  <si>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</si>
  <si>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</si>
  <si>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</si>
  <si>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</si>
  <si>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</si>
  <si>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</si>
  <si>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</si>
  <si>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</si>
  <si>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</si>
  <si>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</si>
  <si>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</si>
  <si>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</si>
  <si>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</si>
  <si>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</si>
  <si>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</si>
  <si>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</si>
  <si>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</si>
  <si>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</si>
  <si>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</si>
  <si>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</si>
  <si>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</si>
  <si>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</si>
  <si>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</si>
  <si>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</si>
  <si>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</si>
  <si>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</si>
  <si>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</si>
  <si>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</si>
  <si>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</si>
  <si>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</si>
  <si>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</si>
  <si>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</si>
  <si>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</si>
  <si>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</si>
  <si>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</si>
  <si>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</si>
  <si>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</si>
  <si>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</si>
  <si>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</si>
  <si>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</si>
  <si>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</si>
  <si>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</si>
  <si>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</si>
  <si>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</si>
  <si>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</si>
  <si>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</si>
  <si>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</si>
  <si>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</si>
  <si>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</si>
  <si>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</si>
  <si>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</si>
  <si>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</si>
  <si>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</si>
  <si>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</si>
  <si>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</si>
  <si>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</si>
  <si>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</si>
  <si>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</si>
  <si>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</si>
  <si>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</si>
  <si>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</si>
  <si>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</si>
  <si>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</si>
  <si>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</si>
  <si>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</si>
  <si>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</si>
  <si>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</si>
  <si>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</si>
  <si>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</si>
  <si>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</si>
  <si>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</si>
  <si>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</si>
  <si>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</si>
  <si>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</si>
  <si>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</si>
  <si>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</si>
  <si>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</si>
  <si>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</si>
  <si>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</si>
  <si>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</si>
  <si>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</si>
  <si>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</si>
  <si>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</si>
  <si>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</si>
  <si>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</si>
  <si>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</si>
  <si>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</si>
  <si>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</si>
  <si>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</si>
  <si>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</si>
  <si>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</si>
  <si>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</si>
  <si>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</si>
  <si>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</si>
  <si>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</si>
  <si>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</si>
  <si>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</si>
  <si>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</si>
  <si>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</si>
  <si>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</si>
  <si>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</si>
  <si>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</si>
  <si>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</si>
  <si>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</si>
  <si>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</si>
  <si>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</si>
  <si>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</si>
  <si>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</si>
  <si>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</si>
  <si>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</si>
  <si>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</si>
  <si>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</si>
  <si>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</si>
  <si>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</si>
  <si>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</si>
  <si>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</si>
  <si>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</si>
  <si>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</si>
  <si>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</si>
  <si>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</si>
  <si>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</si>
  <si>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</si>
  <si>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</si>
  <si>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</si>
  <si>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</si>
  <si>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</si>
  <si>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</si>
  <si>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</si>
  <si>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</si>
  <si>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</si>
  <si>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</si>
  <si>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</si>
  <si>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</si>
  <si>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</si>
  <si>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</si>
  <si>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</si>
  <si>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</si>
  <si>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</si>
  <si>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</si>
  <si>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</si>
  <si>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</si>
  <si>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</si>
  <si>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</si>
  <si>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</si>
  <si>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</si>
  <si>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</si>
  <si>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</si>
  <si>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</si>
  <si>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</si>
  <si>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</si>
  <si>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</si>
  <si>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</si>
  <si>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</si>
  <si>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</si>
  <si>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</si>
  <si>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</si>
  <si>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</si>
  <si>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</si>
  <si>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</si>
  <si>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</si>
  <si>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</si>
  <si>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</si>
  <si>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</si>
  <si>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</si>
  <si>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</si>
  <si>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</si>
  <si>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</si>
  <si>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</si>
  <si>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</si>
  <si>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</si>
  <si>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</si>
  <si>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</si>
  <si>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</si>
  <si>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</si>
  <si>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</si>
  <si>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</si>
  <si>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</si>
  <si>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</si>
  <si>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</si>
  <si>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</si>
  <si>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</si>
  <si>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</si>
  <si>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</si>
  <si>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</si>
  <si>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</si>
  <si>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</si>
  <si>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</si>
  <si>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</si>
  <si>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</si>
  <si>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</si>
  <si>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</si>
  <si>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</si>
  <si>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</si>
  <si>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</si>
  <si>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</si>
  <si>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</si>
  <si>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</si>
  <si>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</si>
  <si>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</si>
  <si>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</si>
  <si>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</si>
  <si>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</si>
  <si>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</si>
  <si>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</si>
  <si>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</si>
  <si>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</si>
  <si>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</si>
  <si>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</si>
  <si>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</si>
  <si>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</si>
  <si>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</si>
  <si>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</si>
  <si>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</si>
  <si>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</si>
  <si>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</si>
  <si>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</si>
  <si>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</si>
  <si>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</si>
  <si>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</si>
  <si>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</si>
  <si>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</si>
  <si>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</si>
  <si>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</si>
  <si>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</si>
  <si>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</si>
  <si>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</si>
  <si>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</si>
  <si>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</si>
  <si>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</si>
  <si>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</si>
  <si>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</si>
  <si>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</si>
  <si>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</si>
  <si>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</si>
  <si>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</si>
  <si>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</si>
  <si>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</si>
  <si>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</si>
  <si>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</si>
  <si>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</si>
  <si>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</si>
  <si>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</si>
  <si>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</si>
  <si>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</si>
  <si>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</si>
  <si>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</si>
  <si>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</si>
  <si>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</si>
  <si>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</si>
  <si>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</si>
  <si>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</si>
  <si>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</si>
  <si>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</si>
  <si>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</si>
  <si>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</si>
  <si>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</si>
  <si>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</si>
  <si>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</si>
  <si>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</si>
  <si>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</si>
  <si>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</si>
  <si>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</si>
  <si>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</si>
  <si>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</si>
  <si>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</si>
  <si>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</si>
  <si>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</si>
  <si>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</si>
  <si>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</si>
  <si>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</si>
  <si>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</si>
  <si>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</si>
  <si>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</si>
  <si>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</si>
  <si>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</si>
  <si>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</si>
  <si>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</si>
  <si>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</si>
  <si>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</si>
  <si>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</si>
  <si>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</si>
  <si>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</si>
  <si>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</si>
  <si>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</si>
  <si>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</si>
  <si>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</si>
  <si>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</si>
  <si>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</si>
  <si>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</si>
  <si>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</si>
  <si>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</si>
  <si>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</si>
  <si>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</si>
  <si>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</si>
  <si>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</si>
  <si>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</si>
  <si>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</si>
  <si>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</si>
  <si>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</si>
  <si>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</si>
  <si>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</si>
  <si>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</si>
  <si>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</si>
  <si>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</si>
  <si>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</si>
  <si>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</si>
  <si>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</si>
  <si>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</si>
  <si>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</si>
  <si>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</si>
  <si>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</si>
  <si>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</si>
  <si>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</si>
  <si>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</si>
  <si>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</si>
  <si>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</si>
  <si>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</si>
  <si>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</si>
  <si>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</si>
  <si>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</si>
  <si>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</si>
  <si>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</si>
  <si>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</si>
  <si>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</si>
  <si>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</si>
  <si>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</si>
  <si>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</si>
  <si>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</si>
  <si>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</si>
  <si>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</si>
  <si>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</si>
  <si>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</si>
  <si>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</si>
  <si>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</si>
  <si>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</si>
  <si>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</si>
  <si>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</si>
  <si>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</si>
  <si>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</si>
  <si>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</si>
  <si>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</si>
  <si>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</si>
  <si>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</si>
  <si>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</si>
  <si>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</si>
  <si>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</si>
  <si>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</si>
  <si>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</si>
  <si>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</si>
  <si>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</si>
  <si>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</si>
  <si>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</si>
  <si>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</si>
  <si>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</si>
  <si>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</si>
  <si>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</si>
  <si>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</si>
  <si>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</si>
  <si>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</si>
  <si>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</si>
  <si>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</si>
  <si>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</si>
  <si>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</si>
  <si>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</si>
  <si>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</si>
  <si>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</si>
  <si>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</si>
  <si>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</si>
  <si>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</si>
  <si>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</si>
  <si>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</si>
  <si>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</si>
  <si>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</si>
  <si>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</si>
  <si>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</si>
  <si>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</si>
  <si>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</si>
  <si>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</si>
  <si>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</si>
  <si>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</si>
  <si>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</si>
  <si>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</si>
  <si>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</si>
  <si>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</si>
  <si>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</si>
  <si>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</si>
  <si>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</si>
  <si>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</si>
  <si>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</si>
  <si>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</si>
  <si>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</si>
  <si>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</si>
  <si>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</si>
  <si>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</si>
  <si>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</si>
  <si>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</si>
  <si>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</si>
  <si>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</si>
  <si>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</si>
  <si>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</si>
  <si>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</si>
  <si>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</si>
  <si>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</si>
  <si>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</si>
  <si>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</si>
  <si>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</si>
  <si>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</si>
  <si>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</si>
  <si>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</si>
  <si>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</si>
  <si>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</si>
  <si>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</si>
  <si>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</si>
  <si>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</si>
  <si>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</si>
  <si>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</si>
  <si>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</si>
  <si>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</si>
  <si>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</si>
  <si>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</si>
  <si>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</si>
  <si>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</si>
  <si>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</si>
  <si>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</si>
  <si>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</si>
  <si>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</si>
  <si>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</si>
  <si>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</si>
  <si>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</si>
  <si>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</si>
  <si>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</si>
  <si>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</si>
  <si>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</si>
  <si>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</si>
  <si>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</si>
  <si>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</si>
  <si>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</si>
  <si>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</si>
  <si>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</si>
  <si>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</si>
  <si>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</si>
  <si>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</si>
  <si>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</si>
  <si>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</si>
  <si>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</si>
  <si>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</si>
  <si>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</si>
  <si>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</si>
  <si>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</si>
  <si>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</si>
  <si>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</si>
  <si>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</si>
  <si>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</si>
  <si>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</si>
  <si>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</si>
  <si>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</si>
  <si>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</si>
  <si>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</si>
  <si>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</si>
  <si>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</si>
  <si>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</si>
  <si>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</si>
  <si>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</si>
  <si>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</si>
  <si>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</si>
  <si>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</si>
  <si>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</si>
  <si>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</si>
  <si>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</si>
  <si>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</si>
  <si>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</si>
  <si>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</si>
  <si>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</si>
  <si>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</si>
  <si>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</si>
  <si>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</si>
  <si>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</si>
  <si>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</si>
  <si>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</si>
  <si>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</si>
  <si>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</si>
  <si>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</si>
  <si>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</si>
  <si>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</si>
  <si>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</si>
  <si>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</si>
  <si>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</si>
  <si>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</si>
  <si>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</si>
  <si>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</si>
  <si>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</si>
  <si>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</si>
  <si>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</si>
  <si>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</si>
  <si>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</si>
  <si>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</si>
  <si>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</si>
  <si>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</si>
  <si>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</si>
  <si>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</si>
  <si>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</si>
  <si>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</si>
  <si>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</si>
  <si>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</si>
  <si>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</si>
  <si>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</si>
  <si>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</si>
  <si>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</si>
  <si>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</si>
  <si>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</si>
  <si>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</si>
  <si>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</si>
  <si>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</si>
  <si>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</si>
  <si>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</si>
  <si>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</si>
  <si>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</si>
  <si>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</si>
  <si>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</si>
  <si>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</si>
  <si>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</si>
  <si>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</si>
  <si>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</si>
  <si>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</si>
  <si>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</si>
  <si>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</si>
  <si>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</si>
  <si>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</si>
  <si>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</si>
  <si>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</si>
  <si>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</si>
  <si>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</si>
  <si>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</si>
  <si>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</si>
  <si>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</si>
  <si>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</si>
  <si>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</si>
  <si>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</si>
  <si>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</si>
  <si>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</si>
  <si>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</si>
  <si>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</si>
  <si>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</si>
  <si>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</si>
  <si>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</si>
  <si>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</si>
  <si>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</si>
  <si>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</si>
  <si>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</si>
  <si>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</si>
  <si>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</si>
  <si>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</si>
  <si>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</si>
  <si>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</si>
  <si>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</si>
  <si>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</si>
  <si>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</si>
  <si>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</si>
  <si>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</si>
  <si>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</si>
  <si>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</si>
  <si>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</si>
  <si>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</si>
  <si>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</si>
  <si>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</si>
  <si>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</si>
  <si>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</si>
  <si>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</si>
  <si>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</si>
  <si>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</si>
  <si>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</si>
  <si>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</si>
  <si>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</si>
  <si>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</si>
  <si>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</si>
  <si>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</si>
  <si>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</si>
  <si>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</si>
  <si>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</si>
  <si>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</si>
  <si>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</si>
  <si>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</si>
  <si>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</si>
  <si>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</si>
  <si>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</si>
  <si>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</si>
  <si>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</si>
  <si>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</si>
  <si>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</si>
  <si>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</si>
  <si>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</si>
  <si>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</si>
  <si>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</si>
  <si>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</si>
  <si>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</si>
  <si>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</si>
  <si>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</si>
  <si>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</si>
  <si>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</si>
  <si>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</si>
  <si>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</si>
  <si>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</si>
  <si>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</si>
  <si>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</si>
  <si>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</si>
  <si>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</si>
  <si>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</si>
  <si>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</si>
  <si>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</si>
  <si>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</si>
  <si>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</si>
  <si>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</si>
  <si>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</si>
  <si>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</si>
  <si>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</si>
  <si>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</si>
  <si>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</si>
  <si>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</si>
  <si>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</si>
  <si>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</si>
  <si>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</si>
  <si>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</si>
  <si>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</si>
  <si>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</si>
  <si>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</si>
  <si>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</si>
  <si>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</si>
  <si>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</si>
  <si>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</si>
  <si>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</si>
  <si>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</si>
  <si>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</si>
  <si>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</si>
  <si>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</si>
  <si>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</si>
  <si>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</si>
  <si>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</si>
  <si>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</si>
  <si>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</si>
  <si>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</si>
  <si>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</si>
  <si>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</si>
  <si>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</si>
  <si>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</si>
  <si>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</si>
  <si>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</si>
  <si>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</si>
  <si>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</si>
  <si>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</si>
  <si>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</si>
  <si>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</si>
  <si>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</si>
  <si>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</si>
  <si>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</si>
  <si>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</si>
  <si>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</si>
  <si>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</si>
  <si>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</si>
  <si>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</si>
  <si>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</si>
  <si>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</si>
  <si>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</si>
  <si>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</si>
  <si>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</si>
  <si>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</si>
  <si>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</si>
  <si>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</si>
  <si>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</si>
  <si>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</si>
  <si>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</si>
  <si>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</si>
  <si>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</si>
  <si>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</si>
  <si>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</si>
  <si>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</si>
  <si>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</si>
  <si>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</si>
  <si>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</si>
  <si>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</si>
  <si>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</si>
  <si>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</si>
  <si>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</si>
  <si>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</si>
  <si>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</si>
  <si>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</si>
  <si>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</si>
  <si>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</si>
  <si>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gen</t>
  </si>
  <si>
    <t>feb</t>
  </si>
  <si>
    <t>mar</t>
  </si>
  <si>
    <t>apr</t>
  </si>
  <si>
    <t>mag</t>
  </si>
  <si>
    <t>giu</t>
  </si>
  <si>
    <t>lug</t>
  </si>
  <si>
    <t>ago</t>
  </si>
  <si>
    <t>set</t>
  </si>
  <si>
    <t>ott</t>
  </si>
  <si>
    <t>nov</t>
  </si>
  <si>
    <t>dic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</si>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</sst>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7" formatCode="[$-809]dd\-mmm\-yyyy"/>
    <numFmt numFmtId="169" formatCode="0.0&quot; Kg&quot;"/>
    <numFmt numFmtId="171" formatCode="_-[$$-409]* #,##0.00_ ;_-[$$-409]* \-#,##0.00\ ;_-[$$-409]* &quot;-&quot;??_ ;_-@_ "/>
    <numFmt numFmtId="172" formatCode="#,##0_ ;\-#,##0\ "/>
    <numFmt numFmtId="173"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7" fontId="1" fillId="0" borderId="0" xfId="0" applyNumberFormat="1" applyFont="1" applyAlignment="1">
      <alignment vertical="center"/>
    </xf>
    <xf numFmtId="169" fontId="0" fillId="0" borderId="0" xfId="0" applyNumberFormat="1"/>
    <xf numFmtId="171" fontId="0" fillId="0" borderId="0" xfId="0" applyNumberFormat="1"/>
    <xf numFmtId="0" fontId="0" fillId="0" borderId="0" xfId="0" pivotButton="1"/>
    <xf numFmtId="172" fontId="0" fillId="0" borderId="0" xfId="0" applyNumberFormat="1"/>
    <xf numFmtId="173"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1" formatCode="_-[$$-409]* #,##0.00_ ;_-[$$-409]* \-#,##0.00\ ;_-[$$-409]* &quot;-&quot;??_ ;_-@_ "/>
    </dxf>
    <dxf>
      <numFmt numFmtId="171" formatCode="_-[$$-409]* #,##0.00_ ;_-[$$-409]* \-#,##0.00\ ;_-[$$-409]* &quot;-&quot;??_ ;_-@_ "/>
    </dxf>
    <dxf>
      <numFmt numFmtId="169"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809]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5" xr9:uid="{70147829-7285-4A58-B424-AC858F10F2BF}">
      <tableStyleElement type="wholeTable" dxfId="1"/>
      <tableStyleElement type="headerRow" dxfId="0"/>
    </tableStyle>
    <tableStyle name="Purple Timeline Style" pivot="0" table="0" count="8" xr9:uid="{8FAF03C1-364B-4B18-98BC-D5EEBDE43377}">
      <tableStyleElement type="wholeTable" dxfId="4"/>
      <tableStyleElement type="headerRow" dxfId="3"/>
    </tableStyle>
  </tableStyles>
  <colors>
    <mruColors>
      <color rgb="FF3C1464"/>
      <color rgb="FFABFFD1"/>
      <color rgb="FF00DA63"/>
      <color rgb="FF004C22"/>
      <color rgb="FF00682F"/>
      <color rgb="FF8E328A"/>
      <color rgb="FFBE46B8"/>
      <color rgb="FFD07ACC"/>
      <color rgb="FF863D0C"/>
      <color rgb="FFDEC8F4"/>
    </mruColors>
  </colors>
  <extLst>
    <ext xmlns:x14="http://schemas.microsoft.com/office/spreadsheetml/2009/9/main" uri="{46F421CA-312F-682f-3DD2-61675219B42D}">
      <x14:dxfs count="3">
        <dxf>
          <font>
            <b val="0"/>
            <i val="0"/>
            <color theme="0" tint="-4.9989318521683403E-2"/>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8E328A"/>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data.xlsx]Total sales!TotalSales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GB"/>
              <a:t>Total</a:t>
            </a:r>
            <a:r>
              <a:rPr lang="en-GB" baseline="0"/>
              <a:t> Sales Over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GB"/>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63D0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63D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63D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gen</c:v>
                  </c:pt>
                  <c:pt idx="1">
                    <c:v>feb</c:v>
                  </c:pt>
                  <c:pt idx="2">
                    <c:v>mar</c:v>
                  </c:pt>
                  <c:pt idx="3">
                    <c:v>apr</c:v>
                  </c:pt>
                  <c:pt idx="4">
                    <c:v>mag</c:v>
                  </c:pt>
                  <c:pt idx="5">
                    <c:v>giu</c:v>
                  </c:pt>
                  <c:pt idx="6">
                    <c:v>lug</c:v>
                  </c:pt>
                  <c:pt idx="7">
                    <c:v>ago</c:v>
                  </c:pt>
                  <c:pt idx="8">
                    <c:v>set</c:v>
                  </c:pt>
                  <c:pt idx="9">
                    <c:v>ott</c:v>
                  </c:pt>
                  <c:pt idx="10">
                    <c:v>nov</c:v>
                  </c:pt>
                  <c:pt idx="11">
                    <c:v>dic</c:v>
                  </c:pt>
                  <c:pt idx="12">
                    <c:v>gen</c:v>
                  </c:pt>
                  <c:pt idx="13">
                    <c:v>feb</c:v>
                  </c:pt>
                  <c:pt idx="14">
                    <c:v>mar</c:v>
                  </c:pt>
                  <c:pt idx="15">
                    <c:v>apr</c:v>
                  </c:pt>
                  <c:pt idx="16">
                    <c:v>mag</c:v>
                  </c:pt>
                  <c:pt idx="17">
                    <c:v>giu</c:v>
                  </c:pt>
                  <c:pt idx="18">
                    <c:v>lug</c:v>
                  </c:pt>
                  <c:pt idx="19">
                    <c:v>ago</c:v>
                  </c:pt>
                  <c:pt idx="20">
                    <c:v>set</c:v>
                  </c:pt>
                  <c:pt idx="21">
                    <c:v>ott</c:v>
                  </c:pt>
                  <c:pt idx="22">
                    <c:v>nov</c:v>
                  </c:pt>
                  <c:pt idx="23">
                    <c:v>dic</c:v>
                  </c:pt>
                  <c:pt idx="24">
                    <c:v>gen</c:v>
                  </c:pt>
                  <c:pt idx="25">
                    <c:v>feb</c:v>
                  </c:pt>
                  <c:pt idx="26">
                    <c:v>mar</c:v>
                  </c:pt>
                  <c:pt idx="27">
                    <c:v>apr</c:v>
                  </c:pt>
                  <c:pt idx="28">
                    <c:v>mag</c:v>
                  </c:pt>
                  <c:pt idx="29">
                    <c:v>giu</c:v>
                  </c:pt>
                  <c:pt idx="30">
                    <c:v>lug</c:v>
                  </c:pt>
                  <c:pt idx="31">
                    <c:v>ago</c:v>
                  </c:pt>
                  <c:pt idx="32">
                    <c:v>set</c:v>
                  </c:pt>
                  <c:pt idx="33">
                    <c:v>ott</c:v>
                  </c:pt>
                  <c:pt idx="34">
                    <c:v>nov</c:v>
                  </c:pt>
                  <c:pt idx="35">
                    <c:v>dic</c:v>
                  </c:pt>
                  <c:pt idx="36">
                    <c:v>gen</c:v>
                  </c:pt>
                  <c:pt idx="37">
                    <c:v>feb</c:v>
                  </c:pt>
                  <c:pt idx="38">
                    <c:v>mar</c:v>
                  </c:pt>
                  <c:pt idx="39">
                    <c:v>apr</c:v>
                  </c:pt>
                  <c:pt idx="40">
                    <c:v>mag</c:v>
                  </c:pt>
                  <c:pt idx="41">
                    <c:v>giu</c:v>
                  </c:pt>
                  <c:pt idx="42">
                    <c:v>lug</c:v>
                  </c:pt>
                  <c:pt idx="43">
                    <c:v>ago</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A3E-451B-931E-1B29BE20AE9C}"/>
            </c:ext>
          </c:extLst>
        </c:ser>
        <c:ser>
          <c:idx val="1"/>
          <c:order val="1"/>
          <c:tx>
            <c:strRef>
              <c:f>'Total sales'!$D$3:$D$4</c:f>
              <c:strCache>
                <c:ptCount val="1"/>
                <c:pt idx="0">
                  <c:v>Excelsa</c:v>
                </c:pt>
              </c:strCache>
            </c:strRef>
          </c:tx>
          <c:spPr>
            <a:ln w="28575" cap="rnd">
              <a:solidFill>
                <a:srgbClr val="863D0C"/>
              </a:solidFill>
              <a:round/>
            </a:ln>
            <a:effectLst/>
          </c:spPr>
          <c:marker>
            <c:symbol val="none"/>
          </c:marker>
          <c:cat>
            <c:multiLvlStrRef>
              <c:f>'Total sales'!$A$5:$B$48</c:f>
              <c:multiLvlStrCache>
                <c:ptCount val="44"/>
                <c:lvl>
                  <c:pt idx="0">
                    <c:v>gen</c:v>
                  </c:pt>
                  <c:pt idx="1">
                    <c:v>feb</c:v>
                  </c:pt>
                  <c:pt idx="2">
                    <c:v>mar</c:v>
                  </c:pt>
                  <c:pt idx="3">
                    <c:v>apr</c:v>
                  </c:pt>
                  <c:pt idx="4">
                    <c:v>mag</c:v>
                  </c:pt>
                  <c:pt idx="5">
                    <c:v>giu</c:v>
                  </c:pt>
                  <c:pt idx="6">
                    <c:v>lug</c:v>
                  </c:pt>
                  <c:pt idx="7">
                    <c:v>ago</c:v>
                  </c:pt>
                  <c:pt idx="8">
                    <c:v>set</c:v>
                  </c:pt>
                  <c:pt idx="9">
                    <c:v>ott</c:v>
                  </c:pt>
                  <c:pt idx="10">
                    <c:v>nov</c:v>
                  </c:pt>
                  <c:pt idx="11">
                    <c:v>dic</c:v>
                  </c:pt>
                  <c:pt idx="12">
                    <c:v>gen</c:v>
                  </c:pt>
                  <c:pt idx="13">
                    <c:v>feb</c:v>
                  </c:pt>
                  <c:pt idx="14">
                    <c:v>mar</c:v>
                  </c:pt>
                  <c:pt idx="15">
                    <c:v>apr</c:v>
                  </c:pt>
                  <c:pt idx="16">
                    <c:v>mag</c:v>
                  </c:pt>
                  <c:pt idx="17">
                    <c:v>giu</c:v>
                  </c:pt>
                  <c:pt idx="18">
                    <c:v>lug</c:v>
                  </c:pt>
                  <c:pt idx="19">
                    <c:v>ago</c:v>
                  </c:pt>
                  <c:pt idx="20">
                    <c:v>set</c:v>
                  </c:pt>
                  <c:pt idx="21">
                    <c:v>ott</c:v>
                  </c:pt>
                  <c:pt idx="22">
                    <c:v>nov</c:v>
                  </c:pt>
                  <c:pt idx="23">
                    <c:v>dic</c:v>
                  </c:pt>
                  <c:pt idx="24">
                    <c:v>gen</c:v>
                  </c:pt>
                  <c:pt idx="25">
                    <c:v>feb</c:v>
                  </c:pt>
                  <c:pt idx="26">
                    <c:v>mar</c:v>
                  </c:pt>
                  <c:pt idx="27">
                    <c:v>apr</c:v>
                  </c:pt>
                  <c:pt idx="28">
                    <c:v>mag</c:v>
                  </c:pt>
                  <c:pt idx="29">
                    <c:v>giu</c:v>
                  </c:pt>
                  <c:pt idx="30">
                    <c:v>lug</c:v>
                  </c:pt>
                  <c:pt idx="31">
                    <c:v>ago</c:v>
                  </c:pt>
                  <c:pt idx="32">
                    <c:v>set</c:v>
                  </c:pt>
                  <c:pt idx="33">
                    <c:v>ott</c:v>
                  </c:pt>
                  <c:pt idx="34">
                    <c:v>nov</c:v>
                  </c:pt>
                  <c:pt idx="35">
                    <c:v>dic</c:v>
                  </c:pt>
                  <c:pt idx="36">
                    <c:v>gen</c:v>
                  </c:pt>
                  <c:pt idx="37">
                    <c:v>feb</c:v>
                  </c:pt>
                  <c:pt idx="38">
                    <c:v>mar</c:v>
                  </c:pt>
                  <c:pt idx="39">
                    <c:v>apr</c:v>
                  </c:pt>
                  <c:pt idx="40">
                    <c:v>mag</c:v>
                  </c:pt>
                  <c:pt idx="41">
                    <c:v>giu</c:v>
                  </c:pt>
                  <c:pt idx="42">
                    <c:v>lug</c:v>
                  </c:pt>
                  <c:pt idx="43">
                    <c:v>ago</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A3E-451B-931E-1B29BE20AE9C}"/>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gen</c:v>
                  </c:pt>
                  <c:pt idx="1">
                    <c:v>feb</c:v>
                  </c:pt>
                  <c:pt idx="2">
                    <c:v>mar</c:v>
                  </c:pt>
                  <c:pt idx="3">
                    <c:v>apr</c:v>
                  </c:pt>
                  <c:pt idx="4">
                    <c:v>mag</c:v>
                  </c:pt>
                  <c:pt idx="5">
                    <c:v>giu</c:v>
                  </c:pt>
                  <c:pt idx="6">
                    <c:v>lug</c:v>
                  </c:pt>
                  <c:pt idx="7">
                    <c:v>ago</c:v>
                  </c:pt>
                  <c:pt idx="8">
                    <c:v>set</c:v>
                  </c:pt>
                  <c:pt idx="9">
                    <c:v>ott</c:v>
                  </c:pt>
                  <c:pt idx="10">
                    <c:v>nov</c:v>
                  </c:pt>
                  <c:pt idx="11">
                    <c:v>dic</c:v>
                  </c:pt>
                  <c:pt idx="12">
                    <c:v>gen</c:v>
                  </c:pt>
                  <c:pt idx="13">
                    <c:v>feb</c:v>
                  </c:pt>
                  <c:pt idx="14">
                    <c:v>mar</c:v>
                  </c:pt>
                  <c:pt idx="15">
                    <c:v>apr</c:v>
                  </c:pt>
                  <c:pt idx="16">
                    <c:v>mag</c:v>
                  </c:pt>
                  <c:pt idx="17">
                    <c:v>giu</c:v>
                  </c:pt>
                  <c:pt idx="18">
                    <c:v>lug</c:v>
                  </c:pt>
                  <c:pt idx="19">
                    <c:v>ago</c:v>
                  </c:pt>
                  <c:pt idx="20">
                    <c:v>set</c:v>
                  </c:pt>
                  <c:pt idx="21">
                    <c:v>ott</c:v>
                  </c:pt>
                  <c:pt idx="22">
                    <c:v>nov</c:v>
                  </c:pt>
                  <c:pt idx="23">
                    <c:v>dic</c:v>
                  </c:pt>
                  <c:pt idx="24">
                    <c:v>gen</c:v>
                  </c:pt>
                  <c:pt idx="25">
                    <c:v>feb</c:v>
                  </c:pt>
                  <c:pt idx="26">
                    <c:v>mar</c:v>
                  </c:pt>
                  <c:pt idx="27">
                    <c:v>apr</c:v>
                  </c:pt>
                  <c:pt idx="28">
                    <c:v>mag</c:v>
                  </c:pt>
                  <c:pt idx="29">
                    <c:v>giu</c:v>
                  </c:pt>
                  <c:pt idx="30">
                    <c:v>lug</c:v>
                  </c:pt>
                  <c:pt idx="31">
                    <c:v>ago</c:v>
                  </c:pt>
                  <c:pt idx="32">
                    <c:v>set</c:v>
                  </c:pt>
                  <c:pt idx="33">
                    <c:v>ott</c:v>
                  </c:pt>
                  <c:pt idx="34">
                    <c:v>nov</c:v>
                  </c:pt>
                  <c:pt idx="35">
                    <c:v>dic</c:v>
                  </c:pt>
                  <c:pt idx="36">
                    <c:v>gen</c:v>
                  </c:pt>
                  <c:pt idx="37">
                    <c:v>feb</c:v>
                  </c:pt>
                  <c:pt idx="38">
                    <c:v>mar</c:v>
                  </c:pt>
                  <c:pt idx="39">
                    <c:v>apr</c:v>
                  </c:pt>
                  <c:pt idx="40">
                    <c:v>mag</c:v>
                  </c:pt>
                  <c:pt idx="41">
                    <c:v>giu</c:v>
                  </c:pt>
                  <c:pt idx="42">
                    <c:v>lug</c:v>
                  </c:pt>
                  <c:pt idx="43">
                    <c:v>ago</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A3E-451B-931E-1B29BE20AE9C}"/>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gen</c:v>
                  </c:pt>
                  <c:pt idx="1">
                    <c:v>feb</c:v>
                  </c:pt>
                  <c:pt idx="2">
                    <c:v>mar</c:v>
                  </c:pt>
                  <c:pt idx="3">
                    <c:v>apr</c:v>
                  </c:pt>
                  <c:pt idx="4">
                    <c:v>mag</c:v>
                  </c:pt>
                  <c:pt idx="5">
                    <c:v>giu</c:v>
                  </c:pt>
                  <c:pt idx="6">
                    <c:v>lug</c:v>
                  </c:pt>
                  <c:pt idx="7">
                    <c:v>ago</c:v>
                  </c:pt>
                  <c:pt idx="8">
                    <c:v>set</c:v>
                  </c:pt>
                  <c:pt idx="9">
                    <c:v>ott</c:v>
                  </c:pt>
                  <c:pt idx="10">
                    <c:v>nov</c:v>
                  </c:pt>
                  <c:pt idx="11">
                    <c:v>dic</c:v>
                  </c:pt>
                  <c:pt idx="12">
                    <c:v>gen</c:v>
                  </c:pt>
                  <c:pt idx="13">
                    <c:v>feb</c:v>
                  </c:pt>
                  <c:pt idx="14">
                    <c:v>mar</c:v>
                  </c:pt>
                  <c:pt idx="15">
                    <c:v>apr</c:v>
                  </c:pt>
                  <c:pt idx="16">
                    <c:v>mag</c:v>
                  </c:pt>
                  <c:pt idx="17">
                    <c:v>giu</c:v>
                  </c:pt>
                  <c:pt idx="18">
                    <c:v>lug</c:v>
                  </c:pt>
                  <c:pt idx="19">
                    <c:v>ago</c:v>
                  </c:pt>
                  <c:pt idx="20">
                    <c:v>set</c:v>
                  </c:pt>
                  <c:pt idx="21">
                    <c:v>ott</c:v>
                  </c:pt>
                  <c:pt idx="22">
                    <c:v>nov</c:v>
                  </c:pt>
                  <c:pt idx="23">
                    <c:v>dic</c:v>
                  </c:pt>
                  <c:pt idx="24">
                    <c:v>gen</c:v>
                  </c:pt>
                  <c:pt idx="25">
                    <c:v>feb</c:v>
                  </c:pt>
                  <c:pt idx="26">
                    <c:v>mar</c:v>
                  </c:pt>
                  <c:pt idx="27">
                    <c:v>apr</c:v>
                  </c:pt>
                  <c:pt idx="28">
                    <c:v>mag</c:v>
                  </c:pt>
                  <c:pt idx="29">
                    <c:v>giu</c:v>
                  </c:pt>
                  <c:pt idx="30">
                    <c:v>lug</c:v>
                  </c:pt>
                  <c:pt idx="31">
                    <c:v>ago</c:v>
                  </c:pt>
                  <c:pt idx="32">
                    <c:v>set</c:v>
                  </c:pt>
                  <c:pt idx="33">
                    <c:v>ott</c:v>
                  </c:pt>
                  <c:pt idx="34">
                    <c:v>nov</c:v>
                  </c:pt>
                  <c:pt idx="35">
                    <c:v>dic</c:v>
                  </c:pt>
                  <c:pt idx="36">
                    <c:v>gen</c:v>
                  </c:pt>
                  <c:pt idx="37">
                    <c:v>feb</c:v>
                  </c:pt>
                  <c:pt idx="38">
                    <c:v>mar</c:v>
                  </c:pt>
                  <c:pt idx="39">
                    <c:v>apr</c:v>
                  </c:pt>
                  <c:pt idx="40">
                    <c:v>mag</c:v>
                  </c:pt>
                  <c:pt idx="41">
                    <c:v>giu</c:v>
                  </c:pt>
                  <c:pt idx="42">
                    <c:v>lug</c:v>
                  </c:pt>
                  <c:pt idx="43">
                    <c:v>ago</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A3E-451B-931E-1B29BE20AE9C}"/>
            </c:ext>
          </c:extLst>
        </c:ser>
        <c:dLbls>
          <c:showLegendKey val="0"/>
          <c:showVal val="0"/>
          <c:showCatName val="0"/>
          <c:showSerName val="0"/>
          <c:showPercent val="0"/>
          <c:showBubbleSize val="0"/>
        </c:dLbls>
        <c:smooth val="0"/>
        <c:axId val="470872239"/>
        <c:axId val="470876079"/>
      </c:lineChart>
      <c:catAx>
        <c:axId val="47087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70876079"/>
        <c:crosses val="autoZero"/>
        <c:auto val="1"/>
        <c:lblAlgn val="ctr"/>
        <c:lblOffset val="100"/>
        <c:noMultiLvlLbl val="0"/>
      </c:catAx>
      <c:valAx>
        <c:axId val="470876079"/>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70872239"/>
        <c:crosses val="autoZero"/>
        <c:crossBetween val="between"/>
      </c:valAx>
      <c:spPr>
        <a:solidFill>
          <a:srgbClr val="DEC8F4"/>
        </a:solidFill>
        <a:ln>
          <a:solidFill>
            <a:srgbClr val="DEC8F4"/>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data.xlsx]Country barchart!PivotTable2</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C22"/>
          </a:solidFill>
          <a:ln w="25400">
            <a:solidFill>
              <a:schemeClr val="bg1"/>
            </a:solidFill>
          </a:ln>
          <a:effectLst/>
        </c:spPr>
      </c:pivotFmt>
      <c:pivotFmt>
        <c:idx val="2"/>
        <c:spPr>
          <a:solidFill>
            <a:srgbClr val="00DA63"/>
          </a:solidFill>
          <a:ln w="25400">
            <a:solidFill>
              <a:schemeClr val="bg1"/>
            </a:solidFill>
          </a:ln>
          <a:effectLst/>
        </c:spPr>
      </c:pivotFmt>
      <c:pivotFmt>
        <c:idx val="3"/>
        <c:spPr>
          <a:solidFill>
            <a:srgbClr val="ABFFD1"/>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FFD1"/>
          </a:solidFill>
          <a:ln w="25400">
            <a:solidFill>
              <a:schemeClr val="bg1"/>
            </a:solidFill>
          </a:ln>
          <a:effectLst/>
        </c:spPr>
      </c:pivotFmt>
      <c:pivotFmt>
        <c:idx val="6"/>
        <c:spPr>
          <a:solidFill>
            <a:srgbClr val="00DA63"/>
          </a:solidFill>
          <a:ln w="25400">
            <a:solidFill>
              <a:schemeClr val="bg1"/>
            </a:solidFill>
          </a:ln>
          <a:effectLst/>
        </c:spPr>
      </c:pivotFmt>
      <c:pivotFmt>
        <c:idx val="7"/>
        <c:spPr>
          <a:solidFill>
            <a:srgbClr val="004C22"/>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BFFD1"/>
          </a:solidFill>
          <a:ln w="25400">
            <a:solidFill>
              <a:schemeClr val="bg1"/>
            </a:solidFill>
          </a:ln>
          <a:effectLst/>
        </c:spPr>
      </c:pivotFmt>
      <c:pivotFmt>
        <c:idx val="10"/>
        <c:spPr>
          <a:solidFill>
            <a:srgbClr val="00DA63"/>
          </a:solidFill>
          <a:ln w="25400">
            <a:solidFill>
              <a:schemeClr val="bg1"/>
            </a:solidFill>
          </a:ln>
          <a:effectLst/>
        </c:spPr>
      </c:pivotFmt>
      <c:pivotFmt>
        <c:idx val="11"/>
        <c:spPr>
          <a:solidFill>
            <a:srgbClr val="004C22"/>
          </a:solidFill>
          <a:ln w="25400">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BFFD1"/>
              </a:solidFill>
              <a:ln w="25400">
                <a:solidFill>
                  <a:schemeClr val="bg1"/>
                </a:solidFill>
              </a:ln>
              <a:effectLst/>
            </c:spPr>
            <c:extLst>
              <c:ext xmlns:c16="http://schemas.microsoft.com/office/drawing/2014/chart" uri="{C3380CC4-5D6E-409C-BE32-E72D297353CC}">
                <c16:uniqueId val="{00000001-B31A-4B42-B5B2-34C4EDD1D54D}"/>
              </c:ext>
            </c:extLst>
          </c:dPt>
          <c:dPt>
            <c:idx val="1"/>
            <c:invertIfNegative val="0"/>
            <c:bubble3D val="0"/>
            <c:spPr>
              <a:solidFill>
                <a:srgbClr val="00DA63"/>
              </a:solidFill>
              <a:ln w="25400">
                <a:solidFill>
                  <a:schemeClr val="bg1"/>
                </a:solidFill>
              </a:ln>
              <a:effectLst/>
            </c:spPr>
            <c:extLst>
              <c:ext xmlns:c16="http://schemas.microsoft.com/office/drawing/2014/chart" uri="{C3380CC4-5D6E-409C-BE32-E72D297353CC}">
                <c16:uniqueId val="{00000003-B31A-4B42-B5B2-34C4EDD1D54D}"/>
              </c:ext>
            </c:extLst>
          </c:dPt>
          <c:dPt>
            <c:idx val="2"/>
            <c:invertIfNegative val="0"/>
            <c:bubble3D val="0"/>
            <c:spPr>
              <a:solidFill>
                <a:srgbClr val="004C22"/>
              </a:solidFill>
              <a:ln w="25400">
                <a:solidFill>
                  <a:schemeClr val="bg1"/>
                </a:solidFill>
              </a:ln>
              <a:effectLst/>
            </c:spPr>
            <c:extLst>
              <c:ext xmlns:c16="http://schemas.microsoft.com/office/drawing/2014/chart" uri="{C3380CC4-5D6E-409C-BE32-E72D297353CC}">
                <c16:uniqueId val="{00000005-B31A-4B42-B5B2-34C4EDD1D54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31A-4B42-B5B2-34C4EDD1D54D}"/>
            </c:ext>
          </c:extLst>
        </c:ser>
        <c:dLbls>
          <c:dLblPos val="outEnd"/>
          <c:showLegendKey val="0"/>
          <c:showVal val="1"/>
          <c:showCatName val="0"/>
          <c:showSerName val="0"/>
          <c:showPercent val="0"/>
          <c:showBubbleSize val="0"/>
        </c:dLbls>
        <c:gapWidth val="182"/>
        <c:axId val="831660927"/>
        <c:axId val="831659967"/>
      </c:barChart>
      <c:catAx>
        <c:axId val="83166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1659967"/>
        <c:crosses val="autoZero"/>
        <c:auto val="1"/>
        <c:lblAlgn val="ctr"/>
        <c:lblOffset val="100"/>
        <c:noMultiLvlLbl val="0"/>
      </c:catAx>
      <c:valAx>
        <c:axId val="831659967"/>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166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data.xlsx]Top 5 customers!PivotTable2</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C22"/>
          </a:solidFill>
          <a:ln w="25400">
            <a:solidFill>
              <a:schemeClr val="bg1"/>
            </a:solidFill>
          </a:ln>
          <a:effectLst/>
        </c:spPr>
      </c:pivotFmt>
      <c:pivotFmt>
        <c:idx val="2"/>
        <c:spPr>
          <a:solidFill>
            <a:srgbClr val="00DA63"/>
          </a:solidFill>
          <a:ln w="25400">
            <a:solidFill>
              <a:schemeClr val="bg1"/>
            </a:solidFill>
          </a:ln>
          <a:effectLst/>
        </c:spPr>
      </c:pivotFmt>
      <c:pivotFmt>
        <c:idx val="3"/>
        <c:spPr>
          <a:solidFill>
            <a:srgbClr val="ABFFD1"/>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FFD1"/>
          </a:solidFill>
          <a:ln w="25400">
            <a:solidFill>
              <a:schemeClr val="bg1"/>
            </a:solidFill>
          </a:ln>
          <a:effectLst/>
        </c:spPr>
      </c:pivotFmt>
      <c:pivotFmt>
        <c:idx val="6"/>
        <c:spPr>
          <a:solidFill>
            <a:srgbClr val="00DA63"/>
          </a:solidFill>
          <a:ln w="25400">
            <a:solidFill>
              <a:schemeClr val="bg1"/>
            </a:solidFill>
          </a:ln>
          <a:effectLst/>
        </c:spPr>
      </c:pivotFmt>
      <c:pivotFmt>
        <c:idx val="7"/>
        <c:spPr>
          <a:solidFill>
            <a:srgbClr val="004C22"/>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788-4747-B10C-27F73A44DDC3}"/>
              </c:ext>
            </c:extLst>
          </c:dPt>
          <c:dPt>
            <c:idx val="1"/>
            <c:invertIfNegative val="0"/>
            <c:bubble3D val="0"/>
            <c:extLst>
              <c:ext xmlns:c16="http://schemas.microsoft.com/office/drawing/2014/chart" uri="{C3380CC4-5D6E-409C-BE32-E72D297353CC}">
                <c16:uniqueId val="{00000001-8788-4747-B10C-27F73A44DDC3}"/>
              </c:ext>
            </c:extLst>
          </c:dPt>
          <c:dPt>
            <c:idx val="2"/>
            <c:invertIfNegative val="0"/>
            <c:bubble3D val="0"/>
            <c:extLst>
              <c:ext xmlns:c16="http://schemas.microsoft.com/office/drawing/2014/chart" uri="{C3380CC4-5D6E-409C-BE32-E72D297353CC}">
                <c16:uniqueId val="{00000002-8788-4747-B10C-27F73A44DDC3}"/>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788-4747-B10C-27F73A44DDC3}"/>
            </c:ext>
          </c:extLst>
        </c:ser>
        <c:dLbls>
          <c:dLblPos val="outEnd"/>
          <c:showLegendKey val="0"/>
          <c:showVal val="1"/>
          <c:showCatName val="0"/>
          <c:showSerName val="0"/>
          <c:showPercent val="0"/>
          <c:showBubbleSize val="0"/>
        </c:dLbls>
        <c:gapWidth val="182"/>
        <c:axId val="831660927"/>
        <c:axId val="831659967"/>
      </c:barChart>
      <c:catAx>
        <c:axId val="83166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1659967"/>
        <c:crosses val="autoZero"/>
        <c:auto val="1"/>
        <c:lblAlgn val="ctr"/>
        <c:lblOffset val="100"/>
        <c:noMultiLvlLbl val="0"/>
      </c:catAx>
      <c:valAx>
        <c:axId val="831659967"/>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3166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0</xdr:colOff>
      <xdr:row>4</xdr:row>
      <xdr:rowOff>0</xdr:rowOff>
    </xdr:to>
    <xdr:sp macro="" textlink="">
      <xdr:nvSpPr>
        <xdr:cNvPr id="4" name="Rectangle 3">
          <a:extLst>
            <a:ext uri="{FF2B5EF4-FFF2-40B4-BE49-F238E27FC236}">
              <a16:creationId xmlns:a16="http://schemas.microsoft.com/office/drawing/2014/main" id="{E009A10D-1D24-6572-6C9D-4CA4AF64B235}"/>
            </a:ext>
          </a:extLst>
        </xdr:cNvPr>
        <xdr:cNvSpPr/>
      </xdr:nvSpPr>
      <xdr:spPr>
        <a:xfrm>
          <a:off x="114300" y="57150"/>
          <a:ext cx="12192000" cy="5715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a:solidFill>
                <a:schemeClr val="bg1"/>
              </a:solidFill>
            </a:rPr>
            <a:t>COFFEE SALES DASHBOARD</a:t>
          </a:r>
        </a:p>
      </xdr:txBody>
    </xdr:sp>
    <xdr:clientData/>
  </xdr:twoCellAnchor>
  <xdr:twoCellAnchor>
    <xdr:from>
      <xdr:col>0</xdr:col>
      <xdr:colOff>104775</xdr:colOff>
      <xdr:row>13</xdr:row>
      <xdr:rowOff>185736</xdr:rowOff>
    </xdr:from>
    <xdr:to>
      <xdr:col>10</xdr:col>
      <xdr:colOff>595313</xdr:colOff>
      <xdr:row>35</xdr:row>
      <xdr:rowOff>11906</xdr:rowOff>
    </xdr:to>
    <xdr:graphicFrame macro="">
      <xdr:nvGraphicFramePr>
        <xdr:cNvPr id="5" name="Chart 4">
          <a:extLst>
            <a:ext uri="{FF2B5EF4-FFF2-40B4-BE49-F238E27FC236}">
              <a16:creationId xmlns:a16="http://schemas.microsoft.com/office/drawing/2014/main" id="{127ABB89-9540-47E5-8458-507C98D76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161925</xdr:rowOff>
    </xdr:from>
    <xdr:to>
      <xdr:col>13</xdr:col>
      <xdr:colOff>595313</xdr:colOff>
      <xdr:row>13</xdr:row>
      <xdr:rowOff>66675</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98495E9D-1EC7-461A-8E10-7A004BE4373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7432" y="801274"/>
              <a:ext cx="7458532" cy="166622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17</xdr:col>
      <xdr:colOff>476251</xdr:colOff>
      <xdr:row>8</xdr:row>
      <xdr:rowOff>142874</xdr:rowOff>
    </xdr:from>
    <xdr:to>
      <xdr:col>20</xdr:col>
      <xdr:colOff>600076</xdr:colOff>
      <xdr:row>13</xdr:row>
      <xdr:rowOff>95249</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98F9A236-5A72-479C-92EF-80C5AE1CB39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414093" y="1565100"/>
              <a:ext cx="1963586" cy="9309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xdr:colOff>
      <xdr:row>8</xdr:row>
      <xdr:rowOff>133351</xdr:rowOff>
    </xdr:from>
    <xdr:to>
      <xdr:col>17</xdr:col>
      <xdr:colOff>419100</xdr:colOff>
      <xdr:row>13</xdr:row>
      <xdr:rowOff>95251</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42CB7C68-A38E-4F98-B9C1-3D83856CCD8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7711337" y="1555577"/>
              <a:ext cx="1645605" cy="9404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11906</xdr:colOff>
      <xdr:row>5</xdr:row>
      <xdr:rowOff>0</xdr:rowOff>
    </xdr:from>
    <xdr:to>
      <xdr:col>20</xdr:col>
      <xdr:colOff>610439</xdr:colOff>
      <xdr:row>8</xdr:row>
      <xdr:rowOff>78842</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B6554DB5-EF7A-4D9D-BBD1-7453EC0A596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723242" y="835068"/>
              <a:ext cx="3664800" cy="66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14</xdr:row>
      <xdr:rowOff>1</xdr:rowOff>
    </xdr:from>
    <xdr:to>
      <xdr:col>20</xdr:col>
      <xdr:colOff>598407</xdr:colOff>
      <xdr:row>24</xdr:row>
      <xdr:rowOff>11907</xdr:rowOff>
    </xdr:to>
    <xdr:graphicFrame macro="">
      <xdr:nvGraphicFramePr>
        <xdr:cNvPr id="10" name="Chart 9">
          <a:extLst>
            <a:ext uri="{FF2B5EF4-FFF2-40B4-BE49-F238E27FC236}">
              <a16:creationId xmlns:a16="http://schemas.microsoft.com/office/drawing/2014/main" id="{89ED19C5-4C17-4BCC-8F72-BBCCE6D08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25</xdr:row>
      <xdr:rowOff>23813</xdr:rowOff>
    </xdr:from>
    <xdr:to>
      <xdr:col>20</xdr:col>
      <xdr:colOff>598407</xdr:colOff>
      <xdr:row>35</xdr:row>
      <xdr:rowOff>28575</xdr:rowOff>
    </xdr:to>
    <xdr:graphicFrame macro="">
      <xdr:nvGraphicFramePr>
        <xdr:cNvPr id="11" name="Chart 10">
          <a:extLst>
            <a:ext uri="{FF2B5EF4-FFF2-40B4-BE49-F238E27FC236}">
              <a16:creationId xmlns:a16="http://schemas.microsoft.com/office/drawing/2014/main" id="{CB052749-A710-4760-AE3C-B447AEF38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ente Windows" refreshedDate="46051.64361215278" createdVersion="8" refreshedVersion="8" minRefreshableVersion="3" recordCount="1000" xr:uid="{E3191CC6-7A27-4537-94EB-FC34021FFB5C}">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9">
      <sharedItems containsSemiMixedTypes="0" containsString="0" containsNumber="1" minValue="0.2" maxValue="2.5" count="4">
        <n v="1"/>
        <n v="0.5"/>
        <n v="2.5"/>
        <n v="0.2"/>
      </sharedItems>
    </cacheField>
    <cacheField name="Unit Price" numFmtId="171">
      <sharedItems containsSemiMixedTypes="0" containsString="0" containsNumber="1" minValue="2.6849999999999996" maxValue="36.454999999999998"/>
    </cacheField>
    <cacheField name="Sales" numFmtId="171">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gen"/>
          <s v="feb"/>
          <s v="mar"/>
          <s v="apr"/>
          <s v="mag"/>
          <s v="giu"/>
          <s v="lug"/>
          <s v="ago"/>
          <s v="set"/>
          <s v="ott"/>
          <s v="nov"/>
          <s v="di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031273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45C77-D796-4B60-B1F0-F44AF7C3DA79}"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9" outline="0" showAll="0" defaultSubtotal="0">
      <items count="4">
        <item x="3"/>
        <item x="1"/>
        <item x="0"/>
        <item x="2"/>
      </items>
    </pivotField>
    <pivotField compact="0" numFmtId="171" outline="0" showAll="0" defaultSubtotal="0"/>
    <pivotField dataField="1" compact="0" numFmtId="171"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4" numFmtId="172"/>
  </dataFields>
  <chartFormats count="4">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79382-5FCF-455E-BB4D-19A7604CEB5F}"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73"/>
  </dataField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7FD3A2-23B3-449A-9FC0-97AA1964C911}"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73"/>
  </dataFields>
  <chartFormats count="2">
    <chartFormat chart="6"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3ADB670-A34C-49D1-9661-E75DF7D0C4EF}" sourceName="Size">
  <pivotTables>
    <pivotTable tabId="18" name="TotalSales"/>
    <pivotTable tabId="19" name="PivotTable2"/>
    <pivotTable tabId="21" name="PivotTable2"/>
  </pivotTables>
  <data>
    <tabular pivotCacheId="203127350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EDC6C04-AE62-44C0-B5D7-16A4D40C4768}" sourceName="Loyalty Card">
  <pivotTables>
    <pivotTable tabId="18" name="TotalSales"/>
    <pivotTable tabId="19" name="PivotTable2"/>
    <pivotTable tabId="21" name="PivotTable2"/>
  </pivotTables>
  <data>
    <tabular pivotCacheId="203127350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27B86BA-D767-4E41-A6D6-2063555D7BD6}" sourceName="Roast Type Name">
  <pivotTables>
    <pivotTable tabId="18" name="TotalSales"/>
    <pivotTable tabId="19" name="PivotTable2"/>
    <pivotTable tabId="21" name="PivotTable2"/>
  </pivotTables>
  <data>
    <tabular pivotCacheId="203127350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38E9B39-F5D9-4779-BFDD-A77BBDE3129C}" cache="Slicer_Size" caption="Size" columnCount="2" style="Purple Slicer" rowHeight="241300"/>
  <slicer name="Loyalty Card" xr10:uid="{03FB7A89-ADD5-47DA-B1AC-61D66EB4C594}" cache="Slicer_Loyalty_Card" caption="Loyalty Card" style="Purple Slicer" rowHeight="241300"/>
  <slicer name="Roast Type Name" xr10:uid="{12D3708F-0F48-46BE-B5D1-9C6C4E918441}" cache="Slicer_Roast_Type_Name" caption="Roast Type Name" columnCount="4"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1BC14C-D33B-4A01-8204-7F48F874C564}" name="Orders" displayName="Orders" ref="A1:P1001" totalsRowShown="0" headerRowDxfId="5">
  <autoFilter ref="A1:P1001" xr:uid="{191BC14C-D33B-4A01-8204-7F48F874C564}"/>
  <tableColumns count="16">
    <tableColumn id="1" xr3:uid="{20BAA6B2-DACB-425F-A705-CC331B9738CE}" name="Order ID" dataDxfId="15"/>
    <tableColumn id="2" xr3:uid="{E8D6DD49-0B84-4D1A-BDB9-27A7B8C1A2E4}" name="Order Date" dataDxfId="14"/>
    <tableColumn id="3" xr3:uid="{65425E2F-DB5F-45C7-8D06-B0BAD7F8DDA8}" name="Customer ID" dataDxfId="13"/>
    <tableColumn id="4" xr3:uid="{A06A057E-8F3E-4EFD-9276-B168C8693FE9}" name="Product ID"/>
    <tableColumn id="5" xr3:uid="{3F7F9FF6-1F54-4E6B-9283-D9B447EE6EEE}" name="Quantity" dataDxfId="12"/>
    <tableColumn id="6" xr3:uid="{3D0C68C1-3062-473B-855F-3EC0DF60D6E9}" name="Customer Name" dataDxfId="11">
      <calculatedColumnFormula>_xlfn.XLOOKUP(C2,customers!$A$1:$A$1001,customers!$B$1:$B$1001,,0)</calculatedColumnFormula>
    </tableColumn>
    <tableColumn id="7" xr3:uid="{FD32912C-CBDA-4B31-8D7B-752326FA28F9}" name="Email" dataDxfId="10">
      <calculatedColumnFormula>IF(_xlfn.XLOOKUP(C2,customers!$A$1:$A$1001,customers!$C$1:$C$1001,,0)=0,"",_xlfn.XLOOKUP(C2,customers!$A$1:$A$1001,customers!$C$1:$C$1001,,0))</calculatedColumnFormula>
    </tableColumn>
    <tableColumn id="8" xr3:uid="{00F0A5C8-AE6D-483E-9EFB-7B9F35F7C6AF}" name="Country" dataDxfId="9">
      <calculatedColumnFormula>_xlfn.XLOOKUP(C2,customers!$A$1:$A$1001,customers!$G$1:$G$1001,,0)</calculatedColumnFormula>
    </tableColumn>
    <tableColumn id="9" xr3:uid="{261EB090-4A3A-4E0D-A946-A5F199EA41F3}" name="Coffee Type">
      <calculatedColumnFormula>INDEX(products!$A$1:$G$49,MATCH(orders!$D2,products!$A$1:$A$49,0),MATCH(orders!I$1,products!$A$1:$G$1,0))</calculatedColumnFormula>
    </tableColumn>
    <tableColumn id="10" xr3:uid="{778491A4-164A-486E-B39C-F65370DA2183}" name="Roast Type">
      <calculatedColumnFormula>INDEX(products!$A$1:$G$49,MATCH(orders!$D2,products!$A$1:$A$49,0),MATCH(orders!J$1,products!$A$1:$G$1,0))</calculatedColumnFormula>
    </tableColumn>
    <tableColumn id="11" xr3:uid="{16CE822E-AF94-41DF-AC70-332835FAD888}" name="Size" dataDxfId="8">
      <calculatedColumnFormula>INDEX(products!$A$1:$G$49,MATCH(orders!$D2,products!$A$1:$A$49,0),MATCH(orders!K$1,products!$A$1:$G$1,0))</calculatedColumnFormula>
    </tableColumn>
    <tableColumn id="12" xr3:uid="{8B7E70A5-AE97-4FE5-8D9D-B70C9F96EE98}" name="Unit Price" dataDxfId="7">
      <calculatedColumnFormula>INDEX(products!$A$1:$G$49,MATCH(orders!$D2,products!$A$1:$A$49,0),MATCH(orders!L$1,products!$A$1:$G$1,0))</calculatedColumnFormula>
    </tableColumn>
    <tableColumn id="13" xr3:uid="{55436CAD-0821-4A11-AA70-9CA55F3488F4}" name="Sales" dataDxfId="6">
      <calculatedColumnFormula>L2*orders!E2</calculatedColumnFormula>
    </tableColumn>
    <tableColumn id="14" xr3:uid="{23CFB63F-412D-4D47-A255-E9DE40BF4B2A}" name="Coffee Type Name">
      <calculatedColumnFormula>IF(I2="Rob","Robusta",IF(I2="Exc","Excelsa",IF(I2="Ara","Arabica",IF(I2="Lib","Liberica",""))))</calculatedColumnFormula>
    </tableColumn>
    <tableColumn id="15" xr3:uid="{FED8AF81-5872-4367-9972-9989FB57E935}" name="Roast Type Name">
      <calculatedColumnFormula>IF(J2="M","Medium",IF(J2="L","Light",IF(J2="D","Dark","")))</calculatedColumnFormula>
    </tableColumn>
    <tableColumn id="16" xr3:uid="{7F864A25-D557-420C-BA3C-BE4BD75F16E0}" name="Loyalty Card" dataDxfId="2">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440D94D-3ACC-4FDE-A6A9-154D9A101F02}" sourceName="Order Date">
  <pivotTables>
    <pivotTable tabId="18" name="TotalSales"/>
    <pivotTable tabId="19" name="PivotTable2"/>
    <pivotTable tabId="21" name="PivotTable2"/>
  </pivotTables>
  <state minimalRefreshVersion="6" lastRefreshVersion="6" pivotCacheId="203127350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80870F4-6F54-4EBC-804B-4B70CD7357D6}"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F048-3987-469A-802B-9A2FBE5B1251}">
  <dimension ref="A1:A25"/>
  <sheetViews>
    <sheetView showGridLines="0" showRowColHeaders="0" tabSelected="1" zoomScale="73" zoomScaleNormal="73" workbookViewId="0">
      <selection activeCell="Z15" sqref="Z15"/>
    </sheetView>
  </sheetViews>
  <sheetFormatPr defaultRowHeight="15" x14ac:dyDescent="0.25"/>
  <cols>
    <col min="1" max="1" width="1.7109375" customWidth="1"/>
    <col min="12" max="12" width="1.7109375" customWidth="1"/>
    <col min="15" max="15" width="1.7109375" customWidth="1"/>
  </cols>
  <sheetData>
    <row r="1" ht="5.0999999999999996" customHeight="1" x14ac:dyDescent="0.25"/>
    <row r="25"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0244-00C6-473F-ABEB-4F29E250D0EC}">
  <dimension ref="A3:F48"/>
  <sheetViews>
    <sheetView workbookViewId="0">
      <selection activeCell="A3" sqref="A3:F48"/>
      <pivotSelection pane="bottomRight" activeRow="2" click="1" r:id="rId1">
        <pivotArea type="all" dataOnly="0" outline="0" fieldPosition="0"/>
      </pivotSelection>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6216</v>
      </c>
      <c r="C3" s="6" t="s">
        <v>6196</v>
      </c>
    </row>
    <row r="4" spans="1:6" x14ac:dyDescent="0.25">
      <c r="A4" s="6" t="s">
        <v>6214</v>
      </c>
      <c r="B4" s="6" t="s">
        <v>6215</v>
      </c>
      <c r="C4" t="s">
        <v>6217</v>
      </c>
      <c r="D4" t="s">
        <v>6218</v>
      </c>
      <c r="E4" t="s">
        <v>6219</v>
      </c>
      <c r="F4" t="s">
        <v>6220</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8E525-F53A-450A-8E7F-676E6502FAAE}">
  <dimension ref="A3:B6"/>
  <sheetViews>
    <sheetView workbookViewId="0">
      <selection activeCell="B14" sqref="B1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6" t="s">
        <v>7</v>
      </c>
      <c r="B3" t="s">
        <v>6216</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643C-9E91-4589-A84C-A117FFE58F5D}">
  <dimension ref="A3:B8"/>
  <sheetViews>
    <sheetView workbookViewId="0">
      <selection activeCell="L5" sqref="L5"/>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5" width="8.140625" bestFit="1" customWidth="1"/>
  </cols>
  <sheetData>
    <row r="3" spans="1:2" x14ac:dyDescent="0.25">
      <c r="A3" s="6" t="s">
        <v>4</v>
      </c>
      <c r="B3" t="s">
        <v>6216</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M12" sqref="M12"/>
    </sheetView>
  </sheetViews>
  <sheetFormatPr defaultRowHeight="15" x14ac:dyDescent="0.25"/>
  <cols>
    <col min="1" max="1" width="16.5703125" bestFit="1" customWidth="1"/>
    <col min="2" max="2" width="13.85546875"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42578125" bestFit="1" customWidth="1"/>
    <col min="12" max="12" width="11.28515625" customWidth="1"/>
    <col min="13" max="13" width="9.42578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L2*orders!E2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L3*orders!E3</f>
        <v>41.25</v>
      </c>
      <c r="N3" t="str">
        <f t="shared" ref="N3:N66" si="0">IF(I3="Rob","Robusta",IF(I3="Exc","Excelsa",IF(I3="Ara","Arabica",IF(I3="Lib","Liberica",""))))</f>
        <v>Excelsa</v>
      </c>
      <c r="O3" t="str">
        <f t="shared" ref="O3:O66" si="1">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L4*orders!E4</f>
        <v>12.95</v>
      </c>
      <c r="N4" t="str">
        <f t="shared" si="0"/>
        <v>Arabica</v>
      </c>
      <c r="O4" t="str">
        <f t="shared" si="1"/>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L5*orders!E5</f>
        <v>27.5</v>
      </c>
      <c r="N5" t="str">
        <f t="shared" si="0"/>
        <v>Excelsa</v>
      </c>
      <c r="O5" t="str">
        <f t="shared" si="1"/>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L6*orders!E6</f>
        <v>54.969999999999992</v>
      </c>
      <c r="N6" t="str">
        <f t="shared" si="0"/>
        <v>Robusta</v>
      </c>
      <c r="O6" t="str">
        <f t="shared" si="1"/>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L7*orders!E7</f>
        <v>38.849999999999994</v>
      </c>
      <c r="N7" t="str">
        <f t="shared" si="0"/>
        <v>Liberica</v>
      </c>
      <c r="O7" t="str">
        <f t="shared" si="1"/>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L8*orders!E8</f>
        <v>21.87</v>
      </c>
      <c r="N8" t="str">
        <f t="shared" si="0"/>
        <v>Excelsa</v>
      </c>
      <c r="O8" t="str">
        <f t="shared" si="1"/>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L9*orders!E9</f>
        <v>4.7549999999999999</v>
      </c>
      <c r="N9" t="str">
        <f t="shared" si="0"/>
        <v>Liberica</v>
      </c>
      <c r="O9" t="str">
        <f t="shared" si="1"/>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L10*orders!E10</f>
        <v>17.91</v>
      </c>
      <c r="N10" t="str">
        <f t="shared" si="0"/>
        <v>Robusta</v>
      </c>
      <c r="O10" t="str">
        <f t="shared" si="1"/>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L11*orders!E11</f>
        <v>5.97</v>
      </c>
      <c r="N11" t="str">
        <f t="shared" si="0"/>
        <v>Robusta</v>
      </c>
      <c r="O11" t="str">
        <f t="shared" si="1"/>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L12*orders!E12</f>
        <v>39.799999999999997</v>
      </c>
      <c r="N12" t="str">
        <f t="shared" si="0"/>
        <v>Arabica</v>
      </c>
      <c r="O12" t="str">
        <f t="shared" si="1"/>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L13*orders!E13</f>
        <v>170.77499999999998</v>
      </c>
      <c r="N13" t="str">
        <f t="shared" si="0"/>
        <v>Excelsa</v>
      </c>
      <c r="O13" t="str">
        <f t="shared" si="1"/>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L14*orders!E14</f>
        <v>49.75</v>
      </c>
      <c r="N14" t="str">
        <f t="shared" si="0"/>
        <v>Robusta</v>
      </c>
      <c r="O14" t="str">
        <f t="shared" si="1"/>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L15*orders!E15</f>
        <v>41.169999999999995</v>
      </c>
      <c r="N15" t="str">
        <f t="shared" si="0"/>
        <v>Robusta</v>
      </c>
      <c r="O15" t="str">
        <f t="shared" si="1"/>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L16*orders!E16</f>
        <v>11.654999999999999</v>
      </c>
      <c r="N16" t="str">
        <f t="shared" si="0"/>
        <v>Liberica</v>
      </c>
      <c r="O16" t="str">
        <f t="shared" si="1"/>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L17*orders!E17</f>
        <v>114.42499999999998</v>
      </c>
      <c r="N17" t="str">
        <f t="shared" si="0"/>
        <v>Robusta</v>
      </c>
      <c r="O17" t="str">
        <f t="shared" si="1"/>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L18*orders!E18</f>
        <v>20.25</v>
      </c>
      <c r="N18" t="str">
        <f t="shared" si="0"/>
        <v>Arabica</v>
      </c>
      <c r="O18" t="str">
        <f t="shared" si="1"/>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L19*orders!E19</f>
        <v>77.699999999999989</v>
      </c>
      <c r="N19" t="str">
        <f t="shared" si="0"/>
        <v>Arabica</v>
      </c>
      <c r="O19" t="str">
        <f t="shared" si="1"/>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L20*orders!E20</f>
        <v>82.339999999999989</v>
      </c>
      <c r="N20" t="str">
        <f t="shared" si="0"/>
        <v>Robusta</v>
      </c>
      <c r="O20" t="str">
        <f t="shared" si="1"/>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L21*orders!E21</f>
        <v>16.875</v>
      </c>
      <c r="N21" t="str">
        <f t="shared" si="0"/>
        <v>Arabica</v>
      </c>
      <c r="O21" t="str">
        <f t="shared" si="1"/>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L22*orders!E22</f>
        <v>14.58</v>
      </c>
      <c r="N22" t="str">
        <f t="shared" si="0"/>
        <v>Excelsa</v>
      </c>
      <c r="O22" t="str">
        <f t="shared" si="1"/>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L23*orders!E23</f>
        <v>17.91</v>
      </c>
      <c r="N23" t="str">
        <f t="shared" si="0"/>
        <v>Arabica</v>
      </c>
      <c r="O23" t="str">
        <f t="shared" si="1"/>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L24*orders!E24</f>
        <v>91.539999999999992</v>
      </c>
      <c r="N24" t="str">
        <f t="shared" si="0"/>
        <v>Robusta</v>
      </c>
      <c r="O24" t="str">
        <f t="shared" si="1"/>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L25*orders!E25</f>
        <v>11.94</v>
      </c>
      <c r="N25" t="str">
        <f t="shared" si="0"/>
        <v>Arabica</v>
      </c>
      <c r="O25" t="str">
        <f t="shared" si="1"/>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L26*orders!E26</f>
        <v>11.25</v>
      </c>
      <c r="N26" t="str">
        <f t="shared" si="0"/>
        <v>Arabica</v>
      </c>
      <c r="O26" t="str">
        <f t="shared" si="1"/>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L27*orders!E27</f>
        <v>12.375</v>
      </c>
      <c r="N27" t="str">
        <f t="shared" si="0"/>
        <v>Excelsa</v>
      </c>
      <c r="O27" t="str">
        <f t="shared" si="1"/>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L28*orders!E28</f>
        <v>27</v>
      </c>
      <c r="N28" t="str">
        <f t="shared" si="0"/>
        <v>Arabica</v>
      </c>
      <c r="O28" t="str">
        <f t="shared" si="1"/>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L29*orders!E29</f>
        <v>16.875</v>
      </c>
      <c r="N29" t="str">
        <f t="shared" si="0"/>
        <v>Arabica</v>
      </c>
      <c r="O29" t="str">
        <f t="shared" si="1"/>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L30*orders!E30</f>
        <v>17.91</v>
      </c>
      <c r="N30" t="str">
        <f t="shared" si="0"/>
        <v>Arabica</v>
      </c>
      <c r="O30" t="str">
        <f t="shared" si="1"/>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L31*orders!E31</f>
        <v>39.799999999999997</v>
      </c>
      <c r="N31" t="str">
        <f t="shared" si="0"/>
        <v>Arabica</v>
      </c>
      <c r="O31" t="str">
        <f t="shared" si="1"/>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L32*orders!E32</f>
        <v>21.825000000000003</v>
      </c>
      <c r="N32" t="str">
        <f t="shared" si="0"/>
        <v>Liberica</v>
      </c>
      <c r="O32" t="str">
        <f t="shared" si="1"/>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L33*orders!E33</f>
        <v>35.82</v>
      </c>
      <c r="N33" t="str">
        <f t="shared" si="0"/>
        <v>Arabica</v>
      </c>
      <c r="O33" t="str">
        <f t="shared" si="1"/>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L34*orders!E34</f>
        <v>52.38</v>
      </c>
      <c r="N34" t="str">
        <f t="shared" si="0"/>
        <v>Liberica</v>
      </c>
      <c r="O34" t="str">
        <f t="shared" si="1"/>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L35*orders!E35</f>
        <v>23.774999999999999</v>
      </c>
      <c r="N35" t="str">
        <f t="shared" si="0"/>
        <v>Liberica</v>
      </c>
      <c r="O35" t="str">
        <f t="shared" si="1"/>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L36*orders!E36</f>
        <v>57.06</v>
      </c>
      <c r="N36" t="str">
        <f t="shared" si="0"/>
        <v>Liberica</v>
      </c>
      <c r="O36" t="str">
        <f t="shared" si="1"/>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L37*orders!E37</f>
        <v>35.82</v>
      </c>
      <c r="N37" t="str">
        <f t="shared" si="0"/>
        <v>Arabica</v>
      </c>
      <c r="O37" t="str">
        <f t="shared" si="1"/>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L38*orders!E38</f>
        <v>8.73</v>
      </c>
      <c r="N38" t="str">
        <f t="shared" si="0"/>
        <v>Liberica</v>
      </c>
      <c r="O38" t="str">
        <f t="shared" si="1"/>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L39*orders!E39</f>
        <v>28.53</v>
      </c>
      <c r="N39" t="str">
        <f t="shared" si="0"/>
        <v>Liberica</v>
      </c>
      <c r="O39" t="str">
        <f t="shared" si="1"/>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L40*orders!E40</f>
        <v>114.42499999999998</v>
      </c>
      <c r="N40" t="str">
        <f t="shared" si="0"/>
        <v>Robusta</v>
      </c>
      <c r="O40" t="str">
        <f t="shared" si="1"/>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L41*orders!E41</f>
        <v>59.699999999999996</v>
      </c>
      <c r="N41" t="str">
        <f t="shared" si="0"/>
        <v>Robusta</v>
      </c>
      <c r="O41" t="str">
        <f t="shared" si="1"/>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L42*orders!E42</f>
        <v>43.650000000000006</v>
      </c>
      <c r="N42" t="str">
        <f t="shared" si="0"/>
        <v>Liberica</v>
      </c>
      <c r="O42" t="str">
        <f t="shared" si="1"/>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L43*orders!E43</f>
        <v>7.29</v>
      </c>
      <c r="N43" t="str">
        <f t="shared" si="0"/>
        <v>Excelsa</v>
      </c>
      <c r="O43" t="str">
        <f t="shared" si="1"/>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L44*orders!E44</f>
        <v>8.0549999999999997</v>
      </c>
      <c r="N44" t="str">
        <f t="shared" si="0"/>
        <v>Robusta</v>
      </c>
      <c r="O44" t="str">
        <f t="shared" si="1"/>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L45*orders!E45</f>
        <v>72.91</v>
      </c>
      <c r="N45" t="str">
        <f t="shared" si="0"/>
        <v>Liberica</v>
      </c>
      <c r="O45" t="str">
        <f t="shared" si="1"/>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L46*orders!E46</f>
        <v>16.5</v>
      </c>
      <c r="N46" t="str">
        <f t="shared" si="0"/>
        <v>Excelsa</v>
      </c>
      <c r="O46" t="str">
        <f t="shared" si="1"/>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L47*orders!E47</f>
        <v>178.70999999999998</v>
      </c>
      <c r="N47" t="str">
        <f t="shared" si="0"/>
        <v>Liberica</v>
      </c>
      <c r="O47" t="str">
        <f t="shared" si="1"/>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L48*orders!E48</f>
        <v>63.249999999999993</v>
      </c>
      <c r="N48" t="str">
        <f t="shared" si="0"/>
        <v>Excelsa</v>
      </c>
      <c r="O48" t="str">
        <f t="shared" si="1"/>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L49*orders!E49</f>
        <v>7.77</v>
      </c>
      <c r="N49" t="str">
        <f t="shared" si="0"/>
        <v>Arabica</v>
      </c>
      <c r="O49" t="str">
        <f t="shared" si="1"/>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L50*orders!E50</f>
        <v>91.539999999999992</v>
      </c>
      <c r="N50" t="str">
        <f t="shared" si="0"/>
        <v>Arabica</v>
      </c>
      <c r="O50" t="str">
        <f t="shared" si="1"/>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L51*orders!E51</f>
        <v>38.849999999999994</v>
      </c>
      <c r="N51" t="str">
        <f t="shared" si="0"/>
        <v>Arabica</v>
      </c>
      <c r="O51" t="str">
        <f t="shared" si="1"/>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L52*orders!E52</f>
        <v>15.54</v>
      </c>
      <c r="N52" t="str">
        <f t="shared" si="0"/>
        <v>Liberica</v>
      </c>
      <c r="O52" t="str">
        <f t="shared" si="1"/>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L53*orders!E53</f>
        <v>145.82</v>
      </c>
      <c r="N53" t="str">
        <f t="shared" si="0"/>
        <v>Liberica</v>
      </c>
      <c r="O53" t="str">
        <f t="shared" si="1"/>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L54*orders!E54</f>
        <v>29.849999999999998</v>
      </c>
      <c r="N54" t="str">
        <f t="shared" si="0"/>
        <v>Robusta</v>
      </c>
      <c r="O54" t="str">
        <f t="shared" si="1"/>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L55*orders!E55</f>
        <v>72.91</v>
      </c>
      <c r="N55" t="str">
        <f t="shared" si="0"/>
        <v>Liberica</v>
      </c>
      <c r="O55" t="str">
        <f t="shared" si="1"/>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L56*orders!E56</f>
        <v>72.75</v>
      </c>
      <c r="N56" t="str">
        <f t="shared" si="0"/>
        <v>Liberica</v>
      </c>
      <c r="O56" t="str">
        <f t="shared" si="1"/>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L57*orders!E57</f>
        <v>47.55</v>
      </c>
      <c r="N57" t="str">
        <f t="shared" si="0"/>
        <v>Liberica</v>
      </c>
      <c r="O57" t="str">
        <f t="shared" si="1"/>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L58*orders!E58</f>
        <v>10.935</v>
      </c>
      <c r="N58" t="str">
        <f t="shared" si="0"/>
        <v>Excelsa</v>
      </c>
      <c r="O58" t="str">
        <f t="shared" si="1"/>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L59*orders!E59</f>
        <v>59.4</v>
      </c>
      <c r="N59" t="str">
        <f t="shared" si="0"/>
        <v>Excelsa</v>
      </c>
      <c r="O59" t="str">
        <f t="shared" si="1"/>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L60*orders!E60</f>
        <v>89.35499999999999</v>
      </c>
      <c r="N60" t="str">
        <f t="shared" si="0"/>
        <v>Liberica</v>
      </c>
      <c r="O60" t="str">
        <f t="shared" si="1"/>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L61*orders!E61</f>
        <v>26.19</v>
      </c>
      <c r="N61" t="str">
        <f t="shared" si="0"/>
        <v>Liberica</v>
      </c>
      <c r="O61" t="str">
        <f t="shared" si="1"/>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L62*orders!E62</f>
        <v>114.42499999999998</v>
      </c>
      <c r="N62" t="str">
        <f t="shared" si="0"/>
        <v>Arabica</v>
      </c>
      <c r="O62" t="str">
        <f t="shared" si="1"/>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L63*orders!E63</f>
        <v>26.849999999999994</v>
      </c>
      <c r="N63" t="str">
        <f t="shared" si="0"/>
        <v>Robusta</v>
      </c>
      <c r="O63" t="str">
        <f t="shared" si="1"/>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L64*orders!E64</f>
        <v>23.774999999999999</v>
      </c>
      <c r="N64" t="str">
        <f t="shared" si="0"/>
        <v>Liberica</v>
      </c>
      <c r="O64" t="str">
        <f t="shared" si="1"/>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L65*orders!E65</f>
        <v>6.75</v>
      </c>
      <c r="N65" t="str">
        <f t="shared" si="0"/>
        <v>Arabica</v>
      </c>
      <c r="O65" t="str">
        <f t="shared" si="1"/>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L66*orders!E66</f>
        <v>35.82</v>
      </c>
      <c r="N66" t="str">
        <f t="shared" si="0"/>
        <v>Robusta</v>
      </c>
      <c r="O66" t="str">
        <f t="shared" si="1"/>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L67*orders!E67</f>
        <v>82.339999999999989</v>
      </c>
      <c r="N67" t="str">
        <f t="shared" ref="N67:N130" si="2">IF(I67="Rob","Robusta",IF(I67="Exc","Excelsa",IF(I67="Ara","Arabica",IF(I67="Lib","Liberica",""))))</f>
        <v>Robusta</v>
      </c>
      <c r="O67" t="str">
        <f t="shared" ref="O67:O130" si="3">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L68*orders!E68</f>
        <v>7.169999999999999</v>
      </c>
      <c r="N68" t="str">
        <f t="shared" si="2"/>
        <v>Robusta</v>
      </c>
      <c r="O68" t="str">
        <f t="shared" si="3"/>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L69*orders!E69</f>
        <v>9.51</v>
      </c>
      <c r="N69" t="str">
        <f t="shared" si="2"/>
        <v>Liberica</v>
      </c>
      <c r="O69" t="str">
        <f t="shared" si="3"/>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L70*orders!E70</f>
        <v>2.9849999999999999</v>
      </c>
      <c r="N70" t="str">
        <f t="shared" si="2"/>
        <v>Robusta</v>
      </c>
      <c r="O70" t="str">
        <f t="shared" si="3"/>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L71*orders!E71</f>
        <v>59.699999999999996</v>
      </c>
      <c r="N71" t="str">
        <f t="shared" si="2"/>
        <v>Robusta</v>
      </c>
      <c r="O71" t="str">
        <f t="shared" si="3"/>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L72*orders!E72</f>
        <v>136.61999999999998</v>
      </c>
      <c r="N72" t="str">
        <f t="shared" si="2"/>
        <v>Excelsa</v>
      </c>
      <c r="O72" t="str">
        <f t="shared" si="3"/>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L73*orders!E73</f>
        <v>9.51</v>
      </c>
      <c r="N73" t="str">
        <f t="shared" si="2"/>
        <v>Liberica</v>
      </c>
      <c r="O73" t="str">
        <f t="shared" si="3"/>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L74*orders!E74</f>
        <v>77.624999999999986</v>
      </c>
      <c r="N74" t="str">
        <f t="shared" si="2"/>
        <v>Arabica</v>
      </c>
      <c r="O74" t="str">
        <f t="shared" si="3"/>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L75*orders!E75</f>
        <v>21.825000000000003</v>
      </c>
      <c r="N75" t="str">
        <f t="shared" si="2"/>
        <v>Liberica</v>
      </c>
      <c r="O75" t="str">
        <f t="shared" si="3"/>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L76*orders!E76</f>
        <v>17.82</v>
      </c>
      <c r="N76" t="str">
        <f t="shared" si="2"/>
        <v>Excelsa</v>
      </c>
      <c r="O76" t="str">
        <f t="shared" si="3"/>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L77*orders!E77</f>
        <v>53.699999999999996</v>
      </c>
      <c r="N77" t="str">
        <f t="shared" si="2"/>
        <v>Robusta</v>
      </c>
      <c r="O77" t="str">
        <f t="shared" si="3"/>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L78*orders!E78</f>
        <v>3.5849999999999995</v>
      </c>
      <c r="N78" t="str">
        <f t="shared" si="2"/>
        <v>Robusta</v>
      </c>
      <c r="O78" t="str">
        <f t="shared" si="3"/>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L79*orders!E79</f>
        <v>7.29</v>
      </c>
      <c r="N79" t="str">
        <f t="shared" si="2"/>
        <v>Excelsa</v>
      </c>
      <c r="O79" t="str">
        <f t="shared" si="3"/>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L80*orders!E80</f>
        <v>40.5</v>
      </c>
      <c r="N80" t="str">
        <f t="shared" si="2"/>
        <v>Arabica</v>
      </c>
      <c r="O80" t="str">
        <f t="shared" si="3"/>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L81*orders!E81</f>
        <v>47.8</v>
      </c>
      <c r="N81" t="str">
        <f t="shared" si="2"/>
        <v>Robusta</v>
      </c>
      <c r="O81" t="str">
        <f t="shared" si="3"/>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L82*orders!E82</f>
        <v>38.849999999999994</v>
      </c>
      <c r="N82" t="str">
        <f t="shared" si="2"/>
        <v>Arabica</v>
      </c>
      <c r="O82" t="str">
        <f t="shared" si="3"/>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L83*orders!E83</f>
        <v>109.36499999999999</v>
      </c>
      <c r="N83" t="str">
        <f t="shared" si="2"/>
        <v>Liberica</v>
      </c>
      <c r="O83" t="str">
        <f t="shared" si="3"/>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L84*orders!E84</f>
        <v>100.39499999999998</v>
      </c>
      <c r="N84" t="str">
        <f t="shared" si="2"/>
        <v>Liberica</v>
      </c>
      <c r="O84" t="str">
        <f t="shared" si="3"/>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L85*orders!E85</f>
        <v>82.339999999999989</v>
      </c>
      <c r="N85" t="str">
        <f t="shared" si="2"/>
        <v>Robusta</v>
      </c>
      <c r="O85" t="str">
        <f t="shared" si="3"/>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L86*orders!E86</f>
        <v>9.51</v>
      </c>
      <c r="N86" t="str">
        <f t="shared" si="2"/>
        <v>Liberica</v>
      </c>
      <c r="O86" t="str">
        <f t="shared" si="3"/>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L87*orders!E87</f>
        <v>89.35499999999999</v>
      </c>
      <c r="N87" t="str">
        <f t="shared" si="2"/>
        <v>Arabica</v>
      </c>
      <c r="O87" t="str">
        <f t="shared" si="3"/>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L88*orders!E88</f>
        <v>11.94</v>
      </c>
      <c r="N88" t="str">
        <f t="shared" si="2"/>
        <v>Arabica</v>
      </c>
      <c r="O88" t="str">
        <f t="shared" si="3"/>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L89*orders!E89</f>
        <v>33.75</v>
      </c>
      <c r="N89" t="str">
        <f t="shared" si="2"/>
        <v>Arabica</v>
      </c>
      <c r="O89" t="str">
        <f t="shared" si="3"/>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L90*orders!E90</f>
        <v>35.849999999999994</v>
      </c>
      <c r="N90" t="str">
        <f t="shared" si="2"/>
        <v>Robusta</v>
      </c>
      <c r="O90" t="str">
        <f t="shared" si="3"/>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L91*orders!E91</f>
        <v>77.699999999999989</v>
      </c>
      <c r="N91" t="str">
        <f t="shared" si="2"/>
        <v>Arabica</v>
      </c>
      <c r="O91" t="str">
        <f t="shared" si="3"/>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L92*orders!E92</f>
        <v>51.8</v>
      </c>
      <c r="N92" t="str">
        <f t="shared" si="2"/>
        <v>Arabica</v>
      </c>
      <c r="O92" t="str">
        <f t="shared" si="3"/>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L93*orders!E93</f>
        <v>103.49999999999999</v>
      </c>
      <c r="N93" t="str">
        <f t="shared" si="2"/>
        <v>Arabica</v>
      </c>
      <c r="O93" t="str">
        <f t="shared" si="3"/>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L94*orders!E94</f>
        <v>44.55</v>
      </c>
      <c r="N94" t="str">
        <f t="shared" si="2"/>
        <v>Excelsa</v>
      </c>
      <c r="O94" t="str">
        <f t="shared" si="3"/>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L95*orders!E95</f>
        <v>35.64</v>
      </c>
      <c r="N95" t="str">
        <f t="shared" si="2"/>
        <v>Excelsa</v>
      </c>
      <c r="O95" t="str">
        <f t="shared" si="3"/>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L96*orders!E96</f>
        <v>17.91</v>
      </c>
      <c r="N96" t="str">
        <f t="shared" si="2"/>
        <v>Arabica</v>
      </c>
      <c r="O96" t="str">
        <f t="shared" si="3"/>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L97*orders!E97</f>
        <v>155.24999999999997</v>
      </c>
      <c r="N97" t="str">
        <f t="shared" si="2"/>
        <v>Arabica</v>
      </c>
      <c r="O97" t="str">
        <f t="shared" si="3"/>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L98*orders!E98</f>
        <v>5.97</v>
      </c>
      <c r="N98" t="str">
        <f t="shared" si="2"/>
        <v>Arabica</v>
      </c>
      <c r="O98" t="str">
        <f t="shared" si="3"/>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L99*orders!E99</f>
        <v>13.5</v>
      </c>
      <c r="N99" t="str">
        <f t="shared" si="2"/>
        <v>Arabica</v>
      </c>
      <c r="O99" t="str">
        <f t="shared" si="3"/>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L100*orders!E100</f>
        <v>2.9849999999999999</v>
      </c>
      <c r="N100" t="str">
        <f t="shared" si="2"/>
        <v>Arabica</v>
      </c>
      <c r="O100" t="str">
        <f t="shared" si="3"/>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L101*orders!E101</f>
        <v>13.095000000000001</v>
      </c>
      <c r="N101" t="str">
        <f t="shared" si="2"/>
        <v>Liberica</v>
      </c>
      <c r="O101" t="str">
        <f t="shared" si="3"/>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L102*orders!E102</f>
        <v>7.77</v>
      </c>
      <c r="N102" t="str">
        <f t="shared" si="2"/>
        <v>Arabica</v>
      </c>
      <c r="O102" t="str">
        <f t="shared" si="3"/>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L103*orders!E103</f>
        <v>148.92499999999998</v>
      </c>
      <c r="N103" t="str">
        <f t="shared" si="2"/>
        <v>Liberica</v>
      </c>
      <c r="O103" t="str">
        <f t="shared" si="3"/>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L104*orders!E104</f>
        <v>38.849999999999994</v>
      </c>
      <c r="N104" t="str">
        <f t="shared" si="2"/>
        <v>Liberica</v>
      </c>
      <c r="O104" t="str">
        <f t="shared" si="3"/>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L105*orders!E105</f>
        <v>11.94</v>
      </c>
      <c r="N105" t="str">
        <f t="shared" si="2"/>
        <v>Robusta</v>
      </c>
      <c r="O105" t="str">
        <f t="shared" si="3"/>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L106*orders!E106</f>
        <v>87.300000000000011</v>
      </c>
      <c r="N106" t="str">
        <f t="shared" si="2"/>
        <v>Liberica</v>
      </c>
      <c r="O106" t="str">
        <f t="shared" si="3"/>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L107*orders!E107</f>
        <v>40.5</v>
      </c>
      <c r="N107" t="str">
        <f t="shared" si="2"/>
        <v>Arabica</v>
      </c>
      <c r="O107" t="str">
        <f t="shared" si="3"/>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L108*orders!E108</f>
        <v>24.3</v>
      </c>
      <c r="N108" t="str">
        <f t="shared" si="2"/>
        <v>Excelsa</v>
      </c>
      <c r="O108" t="str">
        <f t="shared" si="3"/>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L109*orders!E109</f>
        <v>17.91</v>
      </c>
      <c r="N109" t="str">
        <f t="shared" si="2"/>
        <v>Robusta</v>
      </c>
      <c r="O109" t="str">
        <f t="shared" si="3"/>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L110*orders!E110</f>
        <v>27</v>
      </c>
      <c r="N110" t="str">
        <f t="shared" si="2"/>
        <v>Arabica</v>
      </c>
      <c r="O110" t="str">
        <f t="shared" si="3"/>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L111*orders!E111</f>
        <v>7.77</v>
      </c>
      <c r="N111" t="str">
        <f t="shared" si="2"/>
        <v>Liberica</v>
      </c>
      <c r="O111" t="str">
        <f t="shared" si="3"/>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L112*orders!E112</f>
        <v>13.365</v>
      </c>
      <c r="N112" t="str">
        <f t="shared" si="2"/>
        <v>Excelsa</v>
      </c>
      <c r="O112" t="str">
        <f t="shared" si="3"/>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L113*orders!E113</f>
        <v>26.849999999999994</v>
      </c>
      <c r="N113" t="str">
        <f t="shared" si="2"/>
        <v>Robusta</v>
      </c>
      <c r="O113" t="str">
        <f t="shared" si="3"/>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L114*orders!E114</f>
        <v>11.25</v>
      </c>
      <c r="N114" t="str">
        <f t="shared" si="2"/>
        <v>Arabica</v>
      </c>
      <c r="O114" t="str">
        <f t="shared" si="3"/>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L115*orders!E115</f>
        <v>14.55</v>
      </c>
      <c r="N115" t="str">
        <f t="shared" si="2"/>
        <v>Liberica</v>
      </c>
      <c r="O115" t="str">
        <f t="shared" si="3"/>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L116*orders!E116</f>
        <v>14.339999999999998</v>
      </c>
      <c r="N116" t="str">
        <f t="shared" si="2"/>
        <v>Robusta</v>
      </c>
      <c r="O116" t="str">
        <f t="shared" si="3"/>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L117*orders!E117</f>
        <v>15.85</v>
      </c>
      <c r="N117" t="str">
        <f t="shared" si="2"/>
        <v>Liberica</v>
      </c>
      <c r="O117" t="str">
        <f t="shared" si="3"/>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L118*orders!E118</f>
        <v>19.02</v>
      </c>
      <c r="N118" t="str">
        <f t="shared" si="2"/>
        <v>Liberica</v>
      </c>
      <c r="O118" t="str">
        <f t="shared" si="3"/>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L119*orders!E119</f>
        <v>38.04</v>
      </c>
      <c r="N119" t="str">
        <f t="shared" si="2"/>
        <v>Liberica</v>
      </c>
      <c r="O119" t="str">
        <f t="shared" si="3"/>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L120*orders!E120</f>
        <v>21.87</v>
      </c>
      <c r="N120" t="str">
        <f t="shared" si="2"/>
        <v>Excelsa</v>
      </c>
      <c r="O120" t="str">
        <f t="shared" si="3"/>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L121*orders!E121</f>
        <v>4.125</v>
      </c>
      <c r="N121" t="str">
        <f t="shared" si="2"/>
        <v>Excelsa</v>
      </c>
      <c r="O121" t="str">
        <f t="shared" si="3"/>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L122*orders!E122</f>
        <v>3.8849999999999998</v>
      </c>
      <c r="N122" t="str">
        <f t="shared" si="2"/>
        <v>Arabica</v>
      </c>
      <c r="O122" t="str">
        <f t="shared" si="3"/>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L123*orders!E123</f>
        <v>68.75</v>
      </c>
      <c r="N123" t="str">
        <f t="shared" si="2"/>
        <v>Excelsa</v>
      </c>
      <c r="O123" t="str">
        <f t="shared" si="3"/>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L124*orders!E124</f>
        <v>23.88</v>
      </c>
      <c r="N124" t="str">
        <f t="shared" si="2"/>
        <v>Arabica</v>
      </c>
      <c r="O124" t="str">
        <f t="shared" si="3"/>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L125*orders!E125</f>
        <v>145.82</v>
      </c>
      <c r="N125" t="str">
        <f t="shared" si="2"/>
        <v>Liberica</v>
      </c>
      <c r="O125" t="str">
        <f t="shared" si="3"/>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L126*orders!E126</f>
        <v>21.825000000000003</v>
      </c>
      <c r="N126" t="str">
        <f t="shared" si="2"/>
        <v>Liberica</v>
      </c>
      <c r="O126" t="str">
        <f t="shared" si="3"/>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L127*orders!E127</f>
        <v>26.19</v>
      </c>
      <c r="N127" t="str">
        <f t="shared" si="2"/>
        <v>Liberica</v>
      </c>
      <c r="O127" t="str">
        <f t="shared" si="3"/>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L128*orders!E128</f>
        <v>11.25</v>
      </c>
      <c r="N128" t="str">
        <f t="shared" si="2"/>
        <v>Arabica</v>
      </c>
      <c r="O128" t="str">
        <f t="shared" si="3"/>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L129*orders!E129</f>
        <v>77.699999999999989</v>
      </c>
      <c r="N129" t="str">
        <f t="shared" si="2"/>
        <v>Liberica</v>
      </c>
      <c r="O129" t="str">
        <f t="shared" si="3"/>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L130*orders!E130</f>
        <v>6.75</v>
      </c>
      <c r="N130" t="str">
        <f t="shared" si="2"/>
        <v>Arabica</v>
      </c>
      <c r="O130" t="str">
        <f t="shared" si="3"/>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L131*orders!E131</f>
        <v>12.15</v>
      </c>
      <c r="N131" t="str">
        <f t="shared" ref="N131:N194" si="4">IF(I131="Rob","Robusta",IF(I131="Exc","Excelsa",IF(I131="Ara","Arabica",IF(I131="Lib","Liberica",""))))</f>
        <v>Excelsa</v>
      </c>
      <c r="O131" t="str">
        <f t="shared" ref="O131:O194" si="5">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L132*orders!E132</f>
        <v>148.92499999999998</v>
      </c>
      <c r="N132" t="str">
        <f t="shared" si="4"/>
        <v>Arabica</v>
      </c>
      <c r="O132" t="str">
        <f t="shared" si="5"/>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L133*orders!E133</f>
        <v>14.58</v>
      </c>
      <c r="N133" t="str">
        <f t="shared" si="4"/>
        <v>Excelsa</v>
      </c>
      <c r="O133" t="str">
        <f t="shared" si="5"/>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L134*orders!E134</f>
        <v>148.92499999999998</v>
      </c>
      <c r="N134" t="str">
        <f t="shared" si="4"/>
        <v>Arabica</v>
      </c>
      <c r="O134" t="str">
        <f t="shared" si="5"/>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L135*orders!E135</f>
        <v>12.95</v>
      </c>
      <c r="N135" t="str">
        <f t="shared" si="4"/>
        <v>Liberica</v>
      </c>
      <c r="O135" t="str">
        <f t="shared" si="5"/>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L136*orders!E136</f>
        <v>94.874999999999986</v>
      </c>
      <c r="N136" t="str">
        <f t="shared" si="4"/>
        <v>Excelsa</v>
      </c>
      <c r="O136" t="str">
        <f t="shared" si="5"/>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L137*orders!E137</f>
        <v>38.849999999999994</v>
      </c>
      <c r="N137" t="str">
        <f t="shared" si="4"/>
        <v>Arabica</v>
      </c>
      <c r="O137" t="str">
        <f t="shared" si="5"/>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L138*orders!E138</f>
        <v>11.94</v>
      </c>
      <c r="N138" t="str">
        <f t="shared" si="4"/>
        <v>Arabica</v>
      </c>
      <c r="O138" t="str">
        <f t="shared" si="5"/>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L139*orders!E139</f>
        <v>102.46499999999997</v>
      </c>
      <c r="N139" t="str">
        <f t="shared" si="4"/>
        <v>Excelsa</v>
      </c>
      <c r="O139" t="str">
        <f t="shared" si="5"/>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L140*orders!E140</f>
        <v>48.6</v>
      </c>
      <c r="N140" t="str">
        <f t="shared" si="4"/>
        <v>Excelsa</v>
      </c>
      <c r="O140" t="str">
        <f t="shared" si="5"/>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L141*orders!E141</f>
        <v>77.699999999999989</v>
      </c>
      <c r="N141" t="str">
        <f t="shared" si="4"/>
        <v>Liberica</v>
      </c>
      <c r="O141" t="str">
        <f t="shared" si="5"/>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L142*orders!E142</f>
        <v>29.784999999999997</v>
      </c>
      <c r="N142" t="str">
        <f t="shared" si="4"/>
        <v>Liberica</v>
      </c>
      <c r="O142" t="str">
        <f t="shared" si="5"/>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L143*orders!E143</f>
        <v>15.54</v>
      </c>
      <c r="N143" t="str">
        <f t="shared" si="4"/>
        <v>Arabica</v>
      </c>
      <c r="O143" t="str">
        <f t="shared" si="5"/>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L144*orders!E144</f>
        <v>136.61999999999998</v>
      </c>
      <c r="N144" t="str">
        <f t="shared" si="4"/>
        <v>Excelsa</v>
      </c>
      <c r="O144" t="str">
        <f t="shared" si="5"/>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L145*orders!E145</f>
        <v>17.46</v>
      </c>
      <c r="N145" t="str">
        <f t="shared" si="4"/>
        <v>Liberica</v>
      </c>
      <c r="O145" t="str">
        <f t="shared" si="5"/>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L146*orders!E146</f>
        <v>68.309999999999988</v>
      </c>
      <c r="N146" t="str">
        <f t="shared" si="4"/>
        <v>Excelsa</v>
      </c>
      <c r="O146" t="str">
        <f t="shared" si="5"/>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L147*orders!E147</f>
        <v>17.46</v>
      </c>
      <c r="N147" t="str">
        <f t="shared" si="4"/>
        <v>Liberica</v>
      </c>
      <c r="O147" t="str">
        <f t="shared" si="5"/>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L148*orders!E148</f>
        <v>43.650000000000006</v>
      </c>
      <c r="N148" t="str">
        <f t="shared" si="4"/>
        <v>Liberica</v>
      </c>
      <c r="O148" t="str">
        <f t="shared" si="5"/>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L149*orders!E149</f>
        <v>27.5</v>
      </c>
      <c r="N149" t="str">
        <f t="shared" si="4"/>
        <v>Excelsa</v>
      </c>
      <c r="O149" t="str">
        <f t="shared" si="5"/>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L150*orders!E150</f>
        <v>18.225000000000001</v>
      </c>
      <c r="N150" t="str">
        <f t="shared" si="4"/>
        <v>Excelsa</v>
      </c>
      <c r="O150" t="str">
        <f t="shared" si="5"/>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L151*orders!E151</f>
        <v>51.749999999999993</v>
      </c>
      <c r="N151" t="str">
        <f t="shared" si="4"/>
        <v>Arabica</v>
      </c>
      <c r="O151" t="str">
        <f t="shared" si="5"/>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L152*orders!E152</f>
        <v>12.95</v>
      </c>
      <c r="N152" t="str">
        <f t="shared" si="4"/>
        <v>Liberica</v>
      </c>
      <c r="O152" t="str">
        <f t="shared" si="5"/>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L153*orders!E153</f>
        <v>33.75</v>
      </c>
      <c r="N153" t="str">
        <f t="shared" si="4"/>
        <v>Arabica</v>
      </c>
      <c r="O153" t="str">
        <f t="shared" si="5"/>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L154*orders!E154</f>
        <v>68.655000000000001</v>
      </c>
      <c r="N154" t="str">
        <f t="shared" si="4"/>
        <v>Robusta</v>
      </c>
      <c r="O154" t="str">
        <f t="shared" si="5"/>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L155*orders!E155</f>
        <v>2.6849999999999996</v>
      </c>
      <c r="N155" t="str">
        <f t="shared" si="4"/>
        <v>Robusta</v>
      </c>
      <c r="O155" t="str">
        <f t="shared" si="5"/>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L156*orders!E156</f>
        <v>114.42499999999998</v>
      </c>
      <c r="N156" t="str">
        <f t="shared" si="4"/>
        <v>Arabica</v>
      </c>
      <c r="O156" t="str">
        <f t="shared" si="5"/>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L157*orders!E157</f>
        <v>155.24999999999997</v>
      </c>
      <c r="N157" t="str">
        <f t="shared" si="4"/>
        <v>Arabica</v>
      </c>
      <c r="O157" t="str">
        <f t="shared" si="5"/>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L158*orders!E158</f>
        <v>77.624999999999986</v>
      </c>
      <c r="N158" t="str">
        <f t="shared" si="4"/>
        <v>Arabica</v>
      </c>
      <c r="O158" t="str">
        <f t="shared" si="5"/>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L159*orders!E159</f>
        <v>61.754999999999995</v>
      </c>
      <c r="N159" t="str">
        <f t="shared" si="4"/>
        <v>Robusta</v>
      </c>
      <c r="O159" t="str">
        <f t="shared" si="5"/>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L160*orders!E160</f>
        <v>123.50999999999999</v>
      </c>
      <c r="N160" t="str">
        <f t="shared" si="4"/>
        <v>Robusta</v>
      </c>
      <c r="O160" t="str">
        <f t="shared" si="5"/>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L161*orders!E161</f>
        <v>218.73</v>
      </c>
      <c r="N161" t="str">
        <f t="shared" si="4"/>
        <v>Liberica</v>
      </c>
      <c r="O161" t="str">
        <f t="shared" si="5"/>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L162*orders!E162</f>
        <v>33</v>
      </c>
      <c r="N162" t="str">
        <f t="shared" si="4"/>
        <v>Excelsa</v>
      </c>
      <c r="O162" t="str">
        <f t="shared" si="5"/>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L163*orders!E163</f>
        <v>23.31</v>
      </c>
      <c r="N163" t="str">
        <f t="shared" si="4"/>
        <v>Arabica</v>
      </c>
      <c r="O163" t="str">
        <f t="shared" si="5"/>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L164*orders!E164</f>
        <v>21.87</v>
      </c>
      <c r="N164" t="str">
        <f t="shared" si="4"/>
        <v>Excelsa</v>
      </c>
      <c r="O164" t="str">
        <f t="shared" si="5"/>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L165*orders!E165</f>
        <v>16.11</v>
      </c>
      <c r="N165" t="str">
        <f t="shared" si="4"/>
        <v>Robusta</v>
      </c>
      <c r="O165" t="str">
        <f t="shared" si="5"/>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L166*orders!E166</f>
        <v>29.16</v>
      </c>
      <c r="N166" t="str">
        <f t="shared" si="4"/>
        <v>Excelsa</v>
      </c>
      <c r="O166" t="str">
        <f t="shared" si="5"/>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L167*orders!E167</f>
        <v>53.699999999999996</v>
      </c>
      <c r="N167" t="str">
        <f t="shared" si="4"/>
        <v>Robusta</v>
      </c>
      <c r="O167" t="str">
        <f t="shared" si="5"/>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L168*orders!E168</f>
        <v>26.849999999999994</v>
      </c>
      <c r="N168" t="str">
        <f t="shared" si="4"/>
        <v>Robusta</v>
      </c>
      <c r="O168" t="str">
        <f t="shared" si="5"/>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L169*orders!E169</f>
        <v>41.25</v>
      </c>
      <c r="N169" t="str">
        <f t="shared" si="4"/>
        <v>Excelsa</v>
      </c>
      <c r="O169" t="str">
        <f t="shared" si="5"/>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L170*orders!E170</f>
        <v>40.5</v>
      </c>
      <c r="N170" t="str">
        <f t="shared" si="4"/>
        <v>Arabica</v>
      </c>
      <c r="O170" t="str">
        <f t="shared" si="5"/>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L171*orders!E171</f>
        <v>17.899999999999999</v>
      </c>
      <c r="N171" t="str">
        <f t="shared" si="4"/>
        <v>Robusta</v>
      </c>
      <c r="O171" t="str">
        <f t="shared" si="5"/>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L172*orders!E172</f>
        <v>68.309999999999988</v>
      </c>
      <c r="N172" t="str">
        <f t="shared" si="4"/>
        <v>Excelsa</v>
      </c>
      <c r="O172" t="str">
        <f t="shared" si="5"/>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L173*orders!E173</f>
        <v>63.249999999999993</v>
      </c>
      <c r="N173" t="str">
        <f t="shared" si="4"/>
        <v>Excelsa</v>
      </c>
      <c r="O173" t="str">
        <f t="shared" si="5"/>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L174*orders!E174</f>
        <v>21.87</v>
      </c>
      <c r="N174" t="str">
        <f t="shared" si="4"/>
        <v>Excelsa</v>
      </c>
      <c r="O174" t="str">
        <f t="shared" si="5"/>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L175*orders!E175</f>
        <v>91.539999999999992</v>
      </c>
      <c r="N175" t="str">
        <f t="shared" si="4"/>
        <v>Robusta</v>
      </c>
      <c r="O175" t="str">
        <f t="shared" si="5"/>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L176*orders!E176</f>
        <v>204.92999999999995</v>
      </c>
      <c r="N176" t="str">
        <f t="shared" si="4"/>
        <v>Excelsa</v>
      </c>
      <c r="O176" t="str">
        <f t="shared" si="5"/>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L177*orders!E177</f>
        <v>63.249999999999993</v>
      </c>
      <c r="N177" t="str">
        <f t="shared" si="4"/>
        <v>Excelsa</v>
      </c>
      <c r="O177" t="str">
        <f t="shared" si="5"/>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L178*orders!E178</f>
        <v>34.154999999999994</v>
      </c>
      <c r="N178" t="str">
        <f t="shared" si="4"/>
        <v>Excelsa</v>
      </c>
      <c r="O178" t="str">
        <f t="shared" si="5"/>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L179*orders!E179</f>
        <v>109.93999999999998</v>
      </c>
      <c r="N179" t="str">
        <f t="shared" si="4"/>
        <v>Robusta</v>
      </c>
      <c r="O179" t="str">
        <f t="shared" si="5"/>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L180*orders!E180</f>
        <v>25.9</v>
      </c>
      <c r="N180" t="str">
        <f t="shared" si="4"/>
        <v>Arabica</v>
      </c>
      <c r="O180" t="str">
        <f t="shared" si="5"/>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L181*orders!E181</f>
        <v>2.9849999999999999</v>
      </c>
      <c r="N181" t="str">
        <f t="shared" si="4"/>
        <v>Arabica</v>
      </c>
      <c r="O181" t="str">
        <f t="shared" si="5"/>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L182*orders!E182</f>
        <v>22.274999999999999</v>
      </c>
      <c r="N182" t="str">
        <f t="shared" si="4"/>
        <v>Excelsa</v>
      </c>
      <c r="O182" t="str">
        <f t="shared" si="5"/>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L183*orders!E183</f>
        <v>29.849999999999998</v>
      </c>
      <c r="N183" t="str">
        <f t="shared" si="4"/>
        <v>Arabica</v>
      </c>
      <c r="O183" t="str">
        <f t="shared" si="5"/>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L184*orders!E184</f>
        <v>32.22</v>
      </c>
      <c r="N184" t="str">
        <f t="shared" si="4"/>
        <v>Robusta</v>
      </c>
      <c r="O184" t="str">
        <f t="shared" si="5"/>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L185*orders!E185</f>
        <v>8.25</v>
      </c>
      <c r="N185" t="str">
        <f t="shared" si="4"/>
        <v>Excelsa</v>
      </c>
      <c r="O185" t="str">
        <f t="shared" si="5"/>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L186*orders!E186</f>
        <v>31.08</v>
      </c>
      <c r="N186" t="str">
        <f t="shared" si="4"/>
        <v>Arabica</v>
      </c>
      <c r="O186" t="str">
        <f t="shared" si="5"/>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L187*orders!E187</f>
        <v>36.450000000000003</v>
      </c>
      <c r="N187" t="str">
        <f t="shared" si="4"/>
        <v>Excelsa</v>
      </c>
      <c r="O187" t="str">
        <f t="shared" si="5"/>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L188*orders!E188</f>
        <v>68.655000000000001</v>
      </c>
      <c r="N188" t="str">
        <f t="shared" si="4"/>
        <v>Robusta</v>
      </c>
      <c r="O188" t="str">
        <f t="shared" si="5"/>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L189*orders!E189</f>
        <v>43.650000000000006</v>
      </c>
      <c r="N189" t="str">
        <f t="shared" si="4"/>
        <v>Liberica</v>
      </c>
      <c r="O189" t="str">
        <f t="shared" si="5"/>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L190*orders!E190</f>
        <v>4.4550000000000001</v>
      </c>
      <c r="N190" t="str">
        <f t="shared" si="4"/>
        <v>Excelsa</v>
      </c>
      <c r="O190" t="str">
        <f t="shared" si="5"/>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L191*orders!E191</f>
        <v>43.650000000000006</v>
      </c>
      <c r="N191" t="str">
        <f t="shared" si="4"/>
        <v>Liberica</v>
      </c>
      <c r="O191" t="str">
        <f t="shared" si="5"/>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L192*orders!E192</f>
        <v>33.464999999999996</v>
      </c>
      <c r="N192" t="str">
        <f t="shared" si="4"/>
        <v>Liberica</v>
      </c>
      <c r="O192" t="str">
        <f t="shared" si="5"/>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L193*orders!E193</f>
        <v>19.424999999999997</v>
      </c>
      <c r="N193" t="str">
        <f t="shared" si="4"/>
        <v>Liberica</v>
      </c>
      <c r="O193" t="str">
        <f t="shared" si="5"/>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L194*orders!E194</f>
        <v>72.900000000000006</v>
      </c>
      <c r="N194" t="str">
        <f t="shared" si="4"/>
        <v>Excelsa</v>
      </c>
      <c r="O194" t="str">
        <f t="shared" si="5"/>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L195*orders!E195</f>
        <v>44.55</v>
      </c>
      <c r="N195" t="str">
        <f t="shared" ref="N195:N258" si="6">IF(I195="Rob","Robusta",IF(I195="Exc","Excelsa",IF(I195="Ara","Arabica",IF(I195="Lib","Liberica",""))))</f>
        <v>Excelsa</v>
      </c>
      <c r="O195" t="str">
        <f t="shared" ref="O195:O258" si="7">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L196*orders!E196</f>
        <v>36.450000000000003</v>
      </c>
      <c r="N196" t="str">
        <f t="shared" si="6"/>
        <v>Excelsa</v>
      </c>
      <c r="O196" t="str">
        <f t="shared" si="7"/>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L197*orders!E197</f>
        <v>38.849999999999994</v>
      </c>
      <c r="N197" t="str">
        <f t="shared" si="6"/>
        <v>Arabica</v>
      </c>
      <c r="O197" t="str">
        <f t="shared" si="7"/>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L198*orders!E198</f>
        <v>53.46</v>
      </c>
      <c r="N198" t="str">
        <f t="shared" si="6"/>
        <v>Excelsa</v>
      </c>
      <c r="O198" t="str">
        <f t="shared" si="7"/>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L199*orders!E199</f>
        <v>59.569999999999993</v>
      </c>
      <c r="N199" t="str">
        <f t="shared" si="6"/>
        <v>Liberica</v>
      </c>
      <c r="O199" t="str">
        <f t="shared" si="7"/>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L200*orders!E200</f>
        <v>89.35499999999999</v>
      </c>
      <c r="N200" t="str">
        <f t="shared" si="6"/>
        <v>Liberica</v>
      </c>
      <c r="O200" t="str">
        <f t="shared" si="7"/>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L201*orders!E201</f>
        <v>38.04</v>
      </c>
      <c r="N201" t="str">
        <f t="shared" si="6"/>
        <v>Liberica</v>
      </c>
      <c r="O201" t="str">
        <f t="shared" si="7"/>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L202*orders!E202</f>
        <v>41.25</v>
      </c>
      <c r="N202" t="str">
        <f t="shared" si="6"/>
        <v>Excelsa</v>
      </c>
      <c r="O202" t="str">
        <f t="shared" si="7"/>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L203*orders!E203</f>
        <v>57.06</v>
      </c>
      <c r="N203" t="str">
        <f t="shared" si="6"/>
        <v>Liberica</v>
      </c>
      <c r="O203" t="str">
        <f t="shared" si="7"/>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L204*orders!E204</f>
        <v>178.70999999999998</v>
      </c>
      <c r="N204" t="str">
        <f t="shared" si="6"/>
        <v>Liberica</v>
      </c>
      <c r="O204" t="str">
        <f t="shared" si="7"/>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L205*orders!E205</f>
        <v>4.7549999999999999</v>
      </c>
      <c r="N205" t="str">
        <f t="shared" si="6"/>
        <v>Liberica</v>
      </c>
      <c r="O205" t="str">
        <f t="shared" si="7"/>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L206*orders!E206</f>
        <v>82.5</v>
      </c>
      <c r="N206" t="str">
        <f t="shared" si="6"/>
        <v>Excelsa</v>
      </c>
      <c r="O206" t="str">
        <f t="shared" si="7"/>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L207*orders!E207</f>
        <v>8.0549999999999997</v>
      </c>
      <c r="N207" t="str">
        <f t="shared" si="6"/>
        <v>Robusta</v>
      </c>
      <c r="O207" t="str">
        <f t="shared" si="7"/>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L208*orders!E208</f>
        <v>22.5</v>
      </c>
      <c r="N208" t="str">
        <f t="shared" si="6"/>
        <v>Arabica</v>
      </c>
      <c r="O208" t="str">
        <f t="shared" si="7"/>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L209*orders!E209</f>
        <v>40.5</v>
      </c>
      <c r="N209" t="str">
        <f t="shared" si="6"/>
        <v>Arabica</v>
      </c>
      <c r="O209" t="str">
        <f t="shared" si="7"/>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L210*orders!E210</f>
        <v>29.16</v>
      </c>
      <c r="N210" t="str">
        <f t="shared" si="6"/>
        <v>Excelsa</v>
      </c>
      <c r="O210" t="str">
        <f t="shared" si="7"/>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L211*orders!E211</f>
        <v>6.75</v>
      </c>
      <c r="N211" t="str">
        <f t="shared" si="6"/>
        <v>Arabica</v>
      </c>
      <c r="O211" t="str">
        <f t="shared" si="7"/>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L212*orders!E212</f>
        <v>51.8</v>
      </c>
      <c r="N212" t="str">
        <f t="shared" si="6"/>
        <v>Liberica</v>
      </c>
      <c r="O212" t="str">
        <f t="shared" si="7"/>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L213*orders!E213</f>
        <v>53.46</v>
      </c>
      <c r="N213" t="str">
        <f t="shared" si="6"/>
        <v>Excelsa</v>
      </c>
      <c r="O213" t="str">
        <f t="shared" si="7"/>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L214*orders!E214</f>
        <v>14.58</v>
      </c>
      <c r="N214" t="str">
        <f t="shared" si="6"/>
        <v>Excelsa</v>
      </c>
      <c r="O214" t="str">
        <f t="shared" si="7"/>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L215*orders!E215</f>
        <v>20.584999999999997</v>
      </c>
      <c r="N215" t="str">
        <f t="shared" si="6"/>
        <v>Robusta</v>
      </c>
      <c r="O215" t="str">
        <f t="shared" si="7"/>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L216*orders!E216</f>
        <v>31.7</v>
      </c>
      <c r="N216" t="str">
        <f t="shared" si="6"/>
        <v>Liberica</v>
      </c>
      <c r="O216" t="str">
        <f t="shared" si="7"/>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L217*orders!E217</f>
        <v>23.31</v>
      </c>
      <c r="N217" t="str">
        <f t="shared" si="6"/>
        <v>Liberica</v>
      </c>
      <c r="O217" t="str">
        <f t="shared" si="7"/>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L218*orders!E218</f>
        <v>58.2</v>
      </c>
      <c r="N218" t="str">
        <f t="shared" si="6"/>
        <v>Liberica</v>
      </c>
      <c r="O218" t="str">
        <f t="shared" si="7"/>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L219*orders!E219</f>
        <v>35.64</v>
      </c>
      <c r="N219" t="str">
        <f t="shared" si="6"/>
        <v>Excelsa</v>
      </c>
      <c r="O219" t="str">
        <f t="shared" si="7"/>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L220*orders!E220</f>
        <v>56.25</v>
      </c>
      <c r="N220" t="str">
        <f t="shared" si="6"/>
        <v>Arabica</v>
      </c>
      <c r="O220" t="str">
        <f t="shared" si="7"/>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L221*orders!E221</f>
        <v>10.754999999999999</v>
      </c>
      <c r="N221" t="str">
        <f t="shared" si="6"/>
        <v>Robusta</v>
      </c>
      <c r="O221" t="str">
        <f t="shared" si="7"/>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L222*orders!E222</f>
        <v>14.924999999999999</v>
      </c>
      <c r="N222" t="str">
        <f t="shared" si="6"/>
        <v>Robusta</v>
      </c>
      <c r="O222" t="str">
        <f t="shared" si="7"/>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L223*orders!E223</f>
        <v>77.699999999999989</v>
      </c>
      <c r="N223" t="str">
        <f t="shared" si="6"/>
        <v>Arabica</v>
      </c>
      <c r="O223" t="str">
        <f t="shared" si="7"/>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L224*orders!E224</f>
        <v>23.31</v>
      </c>
      <c r="N224" t="str">
        <f t="shared" si="6"/>
        <v>Liberica</v>
      </c>
      <c r="O224" t="str">
        <f t="shared" si="7"/>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L225*orders!E225</f>
        <v>59.4</v>
      </c>
      <c r="N225" t="str">
        <f t="shared" si="6"/>
        <v>Excelsa</v>
      </c>
      <c r="O225" t="str">
        <f t="shared" si="7"/>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L226*orders!E226</f>
        <v>119.13999999999999</v>
      </c>
      <c r="N226" t="str">
        <f t="shared" si="6"/>
        <v>Liberica</v>
      </c>
      <c r="O226" t="str">
        <f t="shared" si="7"/>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L227*orders!E227</f>
        <v>14.339999999999998</v>
      </c>
      <c r="N227" t="str">
        <f t="shared" si="6"/>
        <v>Robusta</v>
      </c>
      <c r="O227" t="str">
        <f t="shared" si="7"/>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L228*orders!E228</f>
        <v>129.37499999999997</v>
      </c>
      <c r="N228" t="str">
        <f t="shared" si="6"/>
        <v>Arabica</v>
      </c>
      <c r="O228" t="str">
        <f t="shared" si="7"/>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L229*orders!E229</f>
        <v>16.11</v>
      </c>
      <c r="N229" t="str">
        <f t="shared" si="6"/>
        <v>Robusta</v>
      </c>
      <c r="O229" t="str">
        <f t="shared" si="7"/>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L230*orders!E230</f>
        <v>17.924999999999997</v>
      </c>
      <c r="N230" t="str">
        <f t="shared" si="6"/>
        <v>Robusta</v>
      </c>
      <c r="O230" t="str">
        <f t="shared" si="7"/>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L231*orders!E231</f>
        <v>8.73</v>
      </c>
      <c r="N231" t="str">
        <f t="shared" si="6"/>
        <v>Liberica</v>
      </c>
      <c r="O231" t="str">
        <f t="shared" si="7"/>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L232*orders!E232</f>
        <v>51.749999999999993</v>
      </c>
      <c r="N232" t="str">
        <f t="shared" si="6"/>
        <v>Arabica</v>
      </c>
      <c r="O232" t="str">
        <f t="shared" si="7"/>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L233*orders!E233</f>
        <v>8.73</v>
      </c>
      <c r="N233" t="str">
        <f t="shared" si="6"/>
        <v>Liberica</v>
      </c>
      <c r="O233" t="str">
        <f t="shared" si="7"/>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L234*orders!E234</f>
        <v>23.774999999999999</v>
      </c>
      <c r="N234" t="str">
        <f t="shared" si="6"/>
        <v>Liberica</v>
      </c>
      <c r="O234" t="str">
        <f t="shared" si="7"/>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L235*orders!E235</f>
        <v>20.625</v>
      </c>
      <c r="N235" t="str">
        <f t="shared" si="6"/>
        <v>Excelsa</v>
      </c>
      <c r="O235" t="str">
        <f t="shared" si="7"/>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L236*orders!E236</f>
        <v>36.454999999999998</v>
      </c>
      <c r="N236" t="str">
        <f t="shared" si="6"/>
        <v>Liberica</v>
      </c>
      <c r="O236" t="str">
        <f t="shared" si="7"/>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L237*orders!E237</f>
        <v>182.27499999999998</v>
      </c>
      <c r="N237" t="str">
        <f t="shared" si="6"/>
        <v>Liberica</v>
      </c>
      <c r="O237" t="str">
        <f t="shared" si="7"/>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L238*orders!E238</f>
        <v>89.35499999999999</v>
      </c>
      <c r="N238" t="str">
        <f t="shared" si="6"/>
        <v>Liberica</v>
      </c>
      <c r="O238" t="str">
        <f t="shared" si="7"/>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L239*orders!E239</f>
        <v>3.5849999999999995</v>
      </c>
      <c r="N239" t="str">
        <f t="shared" si="6"/>
        <v>Robusta</v>
      </c>
      <c r="O239" t="str">
        <f t="shared" si="7"/>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L240*orders!E240</f>
        <v>45.769999999999996</v>
      </c>
      <c r="N240" t="str">
        <f t="shared" si="6"/>
        <v>Robusta</v>
      </c>
      <c r="O240" t="str">
        <f t="shared" si="7"/>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L241*orders!E241</f>
        <v>59.4</v>
      </c>
      <c r="N241" t="str">
        <f t="shared" si="6"/>
        <v>Excelsa</v>
      </c>
      <c r="O241" t="str">
        <f t="shared" si="7"/>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L242*orders!E242</f>
        <v>155.24999999999997</v>
      </c>
      <c r="N242" t="str">
        <f t="shared" si="6"/>
        <v>Arabica</v>
      </c>
      <c r="O242" t="str">
        <f t="shared" si="7"/>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L243*orders!E243</f>
        <v>45.769999999999996</v>
      </c>
      <c r="N243" t="str">
        <f t="shared" si="6"/>
        <v>Robusta</v>
      </c>
      <c r="O243" t="str">
        <f t="shared" si="7"/>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L244*orders!E244</f>
        <v>36.450000000000003</v>
      </c>
      <c r="N244" t="str">
        <f t="shared" si="6"/>
        <v>Excelsa</v>
      </c>
      <c r="O244" t="str">
        <f t="shared" si="7"/>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L245*orders!E245</f>
        <v>29.16</v>
      </c>
      <c r="N245" t="str">
        <f t="shared" si="6"/>
        <v>Excelsa</v>
      </c>
      <c r="O245" t="str">
        <f t="shared" si="7"/>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L246*orders!E246</f>
        <v>133.85999999999999</v>
      </c>
      <c r="N246" t="str">
        <f t="shared" si="6"/>
        <v>Liberica</v>
      </c>
      <c r="O246" t="str">
        <f t="shared" si="7"/>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L247*orders!E247</f>
        <v>23.774999999999999</v>
      </c>
      <c r="N247" t="str">
        <f t="shared" si="6"/>
        <v>Liberica</v>
      </c>
      <c r="O247" t="str">
        <f t="shared" si="7"/>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L248*orders!E248</f>
        <v>38.849999999999994</v>
      </c>
      <c r="N248" t="str">
        <f t="shared" si="6"/>
        <v>Liberica</v>
      </c>
      <c r="O248" t="str">
        <f t="shared" si="7"/>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L249*orders!E249</f>
        <v>21.509999999999998</v>
      </c>
      <c r="N249" t="str">
        <f t="shared" si="6"/>
        <v>Robusta</v>
      </c>
      <c r="O249" t="str">
        <f t="shared" si="7"/>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L250*orders!E250</f>
        <v>9.9499999999999993</v>
      </c>
      <c r="N250" t="str">
        <f t="shared" si="6"/>
        <v>Arabica</v>
      </c>
      <c r="O250" t="str">
        <f t="shared" si="7"/>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L251*orders!E251</f>
        <v>15.85</v>
      </c>
      <c r="N251" t="str">
        <f t="shared" si="6"/>
        <v>Liberica</v>
      </c>
      <c r="O251" t="str">
        <f t="shared" si="7"/>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L252*orders!E252</f>
        <v>2.9849999999999999</v>
      </c>
      <c r="N252" t="str">
        <f t="shared" si="6"/>
        <v>Robusta</v>
      </c>
      <c r="O252" t="str">
        <f t="shared" si="7"/>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L253*orders!E253</f>
        <v>68.75</v>
      </c>
      <c r="N253" t="str">
        <f t="shared" si="6"/>
        <v>Excelsa</v>
      </c>
      <c r="O253" t="str">
        <f t="shared" si="7"/>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L254*orders!E254</f>
        <v>29.849999999999998</v>
      </c>
      <c r="N254" t="str">
        <f t="shared" si="6"/>
        <v>Arabica</v>
      </c>
      <c r="O254" t="str">
        <f t="shared" si="7"/>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L255*orders!E255</f>
        <v>58.2</v>
      </c>
      <c r="N255" t="str">
        <f t="shared" si="6"/>
        <v>Liberica</v>
      </c>
      <c r="O255" t="str">
        <f t="shared" si="7"/>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L256*orders!E256</f>
        <v>28.679999999999996</v>
      </c>
      <c r="N256" t="str">
        <f t="shared" si="6"/>
        <v>Robusta</v>
      </c>
      <c r="O256" t="str">
        <f t="shared" si="7"/>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L257*orders!E257</f>
        <v>21.509999999999998</v>
      </c>
      <c r="N257" t="str">
        <f t="shared" si="6"/>
        <v>Robusta</v>
      </c>
      <c r="O257" t="str">
        <f t="shared" si="7"/>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L258*orders!E258</f>
        <v>17.46</v>
      </c>
      <c r="N258" t="str">
        <f t="shared" si="6"/>
        <v>Liberica</v>
      </c>
      <c r="O258" t="str">
        <f t="shared" si="7"/>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L259*orders!E259</f>
        <v>27.945</v>
      </c>
      <c r="N259" t="str">
        <f t="shared" ref="N259:N322" si="8">IF(I259="Rob","Robusta",IF(I259="Exc","Excelsa",IF(I259="Ara","Arabica",IF(I259="Lib","Liberica",""))))</f>
        <v>Excelsa</v>
      </c>
      <c r="O259" t="str">
        <f t="shared" ref="O259:O322" si="9">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L260*orders!E260</f>
        <v>139.72499999999999</v>
      </c>
      <c r="N260" t="str">
        <f t="shared" si="8"/>
        <v>Excelsa</v>
      </c>
      <c r="O260" t="str">
        <f t="shared" si="9"/>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L261*orders!E261</f>
        <v>5.97</v>
      </c>
      <c r="N261" t="str">
        <f t="shared" si="8"/>
        <v>Robusta</v>
      </c>
      <c r="O261" t="str">
        <f t="shared" si="9"/>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L262*orders!E262</f>
        <v>27.484999999999996</v>
      </c>
      <c r="N262" t="str">
        <f t="shared" si="8"/>
        <v>Robusta</v>
      </c>
      <c r="O262" t="str">
        <f t="shared" si="9"/>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L263*orders!E263</f>
        <v>59.75</v>
      </c>
      <c r="N263" t="str">
        <f t="shared" si="8"/>
        <v>Robusta</v>
      </c>
      <c r="O263" t="str">
        <f t="shared" si="9"/>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L264*orders!E264</f>
        <v>41.25</v>
      </c>
      <c r="N264" t="str">
        <f t="shared" si="8"/>
        <v>Excelsa</v>
      </c>
      <c r="O264" t="str">
        <f t="shared" si="9"/>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L265*orders!E265</f>
        <v>133.85999999999999</v>
      </c>
      <c r="N265" t="str">
        <f t="shared" si="8"/>
        <v>Liberica</v>
      </c>
      <c r="O265" t="str">
        <f t="shared" si="9"/>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L266*orders!E266</f>
        <v>59.75</v>
      </c>
      <c r="N266" t="str">
        <f t="shared" si="8"/>
        <v>Robusta</v>
      </c>
      <c r="O266" t="str">
        <f t="shared" si="9"/>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L267*orders!E267</f>
        <v>5.97</v>
      </c>
      <c r="N267" t="str">
        <f t="shared" si="8"/>
        <v>Arabica</v>
      </c>
      <c r="O267" t="str">
        <f t="shared" si="9"/>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L268*orders!E268</f>
        <v>24.3</v>
      </c>
      <c r="N268" t="str">
        <f t="shared" si="8"/>
        <v>Excelsa</v>
      </c>
      <c r="O268" t="str">
        <f t="shared" si="9"/>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L269*orders!E269</f>
        <v>21.87</v>
      </c>
      <c r="N269" t="str">
        <f t="shared" si="8"/>
        <v>Excelsa</v>
      </c>
      <c r="O269" t="str">
        <f t="shared" si="9"/>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L270*orders!E270</f>
        <v>19.899999999999999</v>
      </c>
      <c r="N270" t="str">
        <f t="shared" si="8"/>
        <v>Arabica</v>
      </c>
      <c r="O270" t="str">
        <f t="shared" si="9"/>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L271*orders!E271</f>
        <v>5.97</v>
      </c>
      <c r="N271" t="str">
        <f t="shared" si="8"/>
        <v>Arabica</v>
      </c>
      <c r="O271" t="str">
        <f t="shared" si="9"/>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L272*orders!E272</f>
        <v>7.29</v>
      </c>
      <c r="N272" t="str">
        <f t="shared" si="8"/>
        <v>Excelsa</v>
      </c>
      <c r="O272" t="str">
        <f t="shared" si="9"/>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L273*orders!E273</f>
        <v>11.94</v>
      </c>
      <c r="N273" t="str">
        <f t="shared" si="8"/>
        <v>Arabica</v>
      </c>
      <c r="O273" t="str">
        <f t="shared" si="9"/>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L274*orders!E274</f>
        <v>71.699999999999989</v>
      </c>
      <c r="N274" t="str">
        <f t="shared" si="8"/>
        <v>Robusta</v>
      </c>
      <c r="O274" t="str">
        <f t="shared" si="9"/>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L275*orders!E275</f>
        <v>7.77</v>
      </c>
      <c r="N275" t="str">
        <f t="shared" si="8"/>
        <v>Arabica</v>
      </c>
      <c r="O275" t="str">
        <f t="shared" si="9"/>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L276*orders!E276</f>
        <v>25.874999999999996</v>
      </c>
      <c r="N276" t="str">
        <f t="shared" si="8"/>
        <v>Arabica</v>
      </c>
      <c r="O276" t="str">
        <f t="shared" si="9"/>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L277*orders!E277</f>
        <v>204.92999999999995</v>
      </c>
      <c r="N277" t="str">
        <f t="shared" si="8"/>
        <v>Excelsa</v>
      </c>
      <c r="O277" t="str">
        <f t="shared" si="9"/>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L278*orders!E278</f>
        <v>109.93999999999998</v>
      </c>
      <c r="N278" t="str">
        <f t="shared" si="8"/>
        <v>Robusta</v>
      </c>
      <c r="O278" t="str">
        <f t="shared" si="9"/>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L279*orders!E279</f>
        <v>89.1</v>
      </c>
      <c r="N279" t="str">
        <f t="shared" si="8"/>
        <v>Excelsa</v>
      </c>
      <c r="O279" t="str">
        <f t="shared" si="9"/>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L280*orders!E280</f>
        <v>7.77</v>
      </c>
      <c r="N280" t="str">
        <f t="shared" si="8"/>
        <v>Arabica</v>
      </c>
      <c r="O280" t="str">
        <f t="shared" si="9"/>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L281*orders!E281</f>
        <v>33.464999999999996</v>
      </c>
      <c r="N281" t="str">
        <f t="shared" si="8"/>
        <v>Liberica</v>
      </c>
      <c r="O281" t="str">
        <f t="shared" si="9"/>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L282*orders!E282</f>
        <v>41.25</v>
      </c>
      <c r="N282" t="str">
        <f t="shared" si="8"/>
        <v>Excelsa</v>
      </c>
      <c r="O282" t="str">
        <f t="shared" si="9"/>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L283*orders!E283</f>
        <v>59.4</v>
      </c>
      <c r="N283" t="str">
        <f t="shared" si="8"/>
        <v>Excelsa</v>
      </c>
      <c r="O283" t="str">
        <f t="shared" si="9"/>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L284*orders!E284</f>
        <v>7.77</v>
      </c>
      <c r="N284" t="str">
        <f t="shared" si="8"/>
        <v>Arabica</v>
      </c>
      <c r="O284" t="str">
        <f t="shared" si="9"/>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L285*orders!E285</f>
        <v>5.3699999999999992</v>
      </c>
      <c r="N285" t="str">
        <f t="shared" si="8"/>
        <v>Robusta</v>
      </c>
      <c r="O285" t="str">
        <f t="shared" si="9"/>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L286*orders!E286</f>
        <v>94.874999999999986</v>
      </c>
      <c r="N286" t="str">
        <f t="shared" si="8"/>
        <v>Excelsa</v>
      </c>
      <c r="O286" t="str">
        <f t="shared" si="9"/>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L287*orders!E287</f>
        <v>36.454999999999998</v>
      </c>
      <c r="N287" t="str">
        <f t="shared" si="8"/>
        <v>Liberica</v>
      </c>
      <c r="O287" t="str">
        <f t="shared" si="9"/>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L288*orders!E288</f>
        <v>13.5</v>
      </c>
      <c r="N288" t="str">
        <f t="shared" si="8"/>
        <v>Arabica</v>
      </c>
      <c r="O288" t="str">
        <f t="shared" si="9"/>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L289*orders!E289</f>
        <v>14.339999999999998</v>
      </c>
      <c r="N289" t="str">
        <f t="shared" si="8"/>
        <v>Robusta</v>
      </c>
      <c r="O289" t="str">
        <f t="shared" si="9"/>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L290*orders!E290</f>
        <v>8.25</v>
      </c>
      <c r="N290" t="str">
        <f t="shared" si="8"/>
        <v>Excelsa</v>
      </c>
      <c r="O290" t="str">
        <f t="shared" si="9"/>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L291*orders!E291</f>
        <v>13.424999999999997</v>
      </c>
      <c r="N291" t="str">
        <f t="shared" si="8"/>
        <v>Robusta</v>
      </c>
      <c r="O291" t="str">
        <f t="shared" si="9"/>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L292*orders!E292</f>
        <v>49.75</v>
      </c>
      <c r="N292" t="str">
        <f t="shared" si="8"/>
        <v>Arabica</v>
      </c>
      <c r="O292" t="str">
        <f t="shared" si="9"/>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L293*orders!E293</f>
        <v>16.5</v>
      </c>
      <c r="N293" t="str">
        <f t="shared" si="8"/>
        <v>Excelsa</v>
      </c>
      <c r="O293" t="str">
        <f t="shared" si="9"/>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L294*orders!E294</f>
        <v>17.91</v>
      </c>
      <c r="N294" t="str">
        <f t="shared" si="8"/>
        <v>Arabica</v>
      </c>
      <c r="O294" t="str">
        <f t="shared" si="9"/>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L295*orders!E295</f>
        <v>29.849999999999998</v>
      </c>
      <c r="N295" t="str">
        <f t="shared" si="8"/>
        <v>Arabica</v>
      </c>
      <c r="O295" t="str">
        <f t="shared" si="9"/>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L296*orders!E296</f>
        <v>44.55</v>
      </c>
      <c r="N296" t="str">
        <f t="shared" si="8"/>
        <v>Excelsa</v>
      </c>
      <c r="O296" t="str">
        <f t="shared" si="9"/>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L297*orders!E297</f>
        <v>27.5</v>
      </c>
      <c r="N297" t="str">
        <f t="shared" si="8"/>
        <v>Excelsa</v>
      </c>
      <c r="O297" t="str">
        <f t="shared" si="9"/>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L298*orders!E298</f>
        <v>35.82</v>
      </c>
      <c r="N298" t="str">
        <f t="shared" si="8"/>
        <v>Robusta</v>
      </c>
      <c r="O298" t="str">
        <f t="shared" si="9"/>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L299*orders!E299</f>
        <v>16.11</v>
      </c>
      <c r="N299" t="str">
        <f t="shared" si="8"/>
        <v>Robusta</v>
      </c>
      <c r="O299" t="str">
        <f t="shared" si="9"/>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L300*orders!E300</f>
        <v>26.73</v>
      </c>
      <c r="N300" t="str">
        <f t="shared" si="8"/>
        <v>Excelsa</v>
      </c>
      <c r="O300" t="str">
        <f t="shared" si="9"/>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L301*orders!E301</f>
        <v>204.92999999999995</v>
      </c>
      <c r="N301" t="str">
        <f t="shared" si="8"/>
        <v>Excelsa</v>
      </c>
      <c r="O301" t="str">
        <f t="shared" si="9"/>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L302*orders!E302</f>
        <v>38.849999999999994</v>
      </c>
      <c r="N302" t="str">
        <f t="shared" si="8"/>
        <v>Arabica</v>
      </c>
      <c r="O302" t="str">
        <f t="shared" si="9"/>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L303*orders!E303</f>
        <v>15.54</v>
      </c>
      <c r="N303" t="str">
        <f t="shared" si="8"/>
        <v>Liberica</v>
      </c>
      <c r="O303" t="str">
        <f t="shared" si="9"/>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L304*orders!E304</f>
        <v>6.75</v>
      </c>
      <c r="N304" t="str">
        <f t="shared" si="8"/>
        <v>Arabica</v>
      </c>
      <c r="O304" t="str">
        <f t="shared" si="9"/>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L305*orders!E305</f>
        <v>111.78</v>
      </c>
      <c r="N305" t="str">
        <f t="shared" si="8"/>
        <v>Excelsa</v>
      </c>
      <c r="O305" t="str">
        <f t="shared" si="9"/>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L306*orders!E306</f>
        <v>3.8849999999999998</v>
      </c>
      <c r="N306" t="str">
        <f t="shared" si="8"/>
        <v>Arabica</v>
      </c>
      <c r="O306" t="str">
        <f t="shared" si="9"/>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L307*orders!E307</f>
        <v>21.825000000000003</v>
      </c>
      <c r="N307" t="str">
        <f t="shared" si="8"/>
        <v>Liberica</v>
      </c>
      <c r="O307" t="str">
        <f t="shared" si="9"/>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L308*orders!E308</f>
        <v>14.924999999999999</v>
      </c>
      <c r="N308" t="str">
        <f t="shared" si="8"/>
        <v>Robusta</v>
      </c>
      <c r="O308" t="str">
        <f t="shared" si="9"/>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L309*orders!E309</f>
        <v>33.75</v>
      </c>
      <c r="N309" t="str">
        <f t="shared" si="8"/>
        <v>Arabica</v>
      </c>
      <c r="O309" t="str">
        <f t="shared" si="9"/>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L310*orders!E310</f>
        <v>33.75</v>
      </c>
      <c r="N310" t="str">
        <f t="shared" si="8"/>
        <v>Arabica</v>
      </c>
      <c r="O310" t="str">
        <f t="shared" si="9"/>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L311*orders!E311</f>
        <v>26.19</v>
      </c>
      <c r="N311" t="str">
        <f t="shared" si="8"/>
        <v>Liberica</v>
      </c>
      <c r="O311" t="str">
        <f t="shared" si="9"/>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L312*orders!E312</f>
        <v>14.85</v>
      </c>
      <c r="N312" t="str">
        <f t="shared" si="8"/>
        <v>Excelsa</v>
      </c>
      <c r="O312" t="str">
        <f t="shared" si="9"/>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L313*orders!E313</f>
        <v>189.74999999999997</v>
      </c>
      <c r="N313" t="str">
        <f t="shared" si="8"/>
        <v>Excelsa</v>
      </c>
      <c r="O313" t="str">
        <f t="shared" si="9"/>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L314*orders!E314</f>
        <v>5.97</v>
      </c>
      <c r="N314" t="str">
        <f t="shared" si="8"/>
        <v>Robusta</v>
      </c>
      <c r="O314" t="str">
        <f t="shared" si="9"/>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L315*orders!E315</f>
        <v>29.849999999999998</v>
      </c>
      <c r="N315" t="str">
        <f t="shared" si="8"/>
        <v>Robusta</v>
      </c>
      <c r="O315" t="str">
        <f t="shared" si="9"/>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L316*orders!E316</f>
        <v>44.75</v>
      </c>
      <c r="N316" t="str">
        <f t="shared" si="8"/>
        <v>Robusta</v>
      </c>
      <c r="O316" t="str">
        <f t="shared" si="9"/>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L317*orders!E317</f>
        <v>34.154999999999994</v>
      </c>
      <c r="N317" t="str">
        <f t="shared" si="8"/>
        <v>Excelsa</v>
      </c>
      <c r="O317" t="str">
        <f t="shared" si="9"/>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L318*orders!E318</f>
        <v>204.92999999999995</v>
      </c>
      <c r="N318" t="str">
        <f t="shared" si="8"/>
        <v>Excelsa</v>
      </c>
      <c r="O318" t="str">
        <f t="shared" si="9"/>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L319*orders!E319</f>
        <v>21.87</v>
      </c>
      <c r="N319" t="str">
        <f t="shared" si="8"/>
        <v>Excelsa</v>
      </c>
      <c r="O319" t="str">
        <f t="shared" si="9"/>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L320*orders!E320</f>
        <v>51.749999999999993</v>
      </c>
      <c r="N320" t="str">
        <f t="shared" si="8"/>
        <v>Arabica</v>
      </c>
      <c r="O320" t="str">
        <f t="shared" si="9"/>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L321*orders!E321</f>
        <v>8.25</v>
      </c>
      <c r="N321" t="str">
        <f t="shared" si="8"/>
        <v>Excelsa</v>
      </c>
      <c r="O321" t="str">
        <f t="shared" si="9"/>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L322*orders!E322</f>
        <v>19.424999999999997</v>
      </c>
      <c r="N322" t="str">
        <f t="shared" si="8"/>
        <v>Arabica</v>
      </c>
      <c r="O322" t="str">
        <f t="shared" si="9"/>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L323*orders!E323</f>
        <v>20.25</v>
      </c>
      <c r="N323" t="str">
        <f t="shared" ref="N323:N386" si="10">IF(I323="Rob","Robusta",IF(I323="Exc","Excelsa",IF(I323="Ara","Arabica",IF(I323="Lib","Liberica",""))))</f>
        <v>Arabica</v>
      </c>
      <c r="O323" t="str">
        <f t="shared" ref="O323:O386" si="11">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L324*orders!E324</f>
        <v>23.31</v>
      </c>
      <c r="N324" t="str">
        <f t="shared" si="10"/>
        <v>Liberica</v>
      </c>
      <c r="O324" t="str">
        <f t="shared" si="11"/>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L325*orders!E325</f>
        <v>18.225000000000001</v>
      </c>
      <c r="N325" t="str">
        <f t="shared" si="10"/>
        <v>Excelsa</v>
      </c>
      <c r="O325" t="str">
        <f t="shared" si="11"/>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L326*orders!E326</f>
        <v>13.75</v>
      </c>
      <c r="N326" t="str">
        <f t="shared" si="10"/>
        <v>Excelsa</v>
      </c>
      <c r="O326" t="str">
        <f t="shared" si="11"/>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L327*orders!E327</f>
        <v>29.784999999999997</v>
      </c>
      <c r="N327" t="str">
        <f t="shared" si="10"/>
        <v>Arabica</v>
      </c>
      <c r="O327" t="str">
        <f t="shared" si="11"/>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L328*orders!E328</f>
        <v>44.75</v>
      </c>
      <c r="N328" t="str">
        <f t="shared" si="10"/>
        <v>Robusta</v>
      </c>
      <c r="O328" t="str">
        <f t="shared" si="11"/>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L329*orders!E329</f>
        <v>44.75</v>
      </c>
      <c r="N329" t="str">
        <f t="shared" si="10"/>
        <v>Robusta</v>
      </c>
      <c r="O329" t="str">
        <f t="shared" si="11"/>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L330*orders!E330</f>
        <v>38.04</v>
      </c>
      <c r="N330" t="str">
        <f t="shared" si="10"/>
        <v>Liberica</v>
      </c>
      <c r="O330" t="str">
        <f t="shared" si="11"/>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L331*orders!E331</f>
        <v>21.479999999999997</v>
      </c>
      <c r="N331" t="str">
        <f t="shared" si="10"/>
        <v>Robusta</v>
      </c>
      <c r="O331" t="str">
        <f t="shared" si="11"/>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L332*orders!E332</f>
        <v>16.11</v>
      </c>
      <c r="N332" t="str">
        <f t="shared" si="10"/>
        <v>Robusta</v>
      </c>
      <c r="O332" t="str">
        <f t="shared" si="11"/>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L333*orders!E333</f>
        <v>22.884999999999998</v>
      </c>
      <c r="N333" t="str">
        <f t="shared" si="10"/>
        <v>Robusta</v>
      </c>
      <c r="O333" t="str">
        <f t="shared" si="11"/>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L334*orders!E334</f>
        <v>17.91</v>
      </c>
      <c r="N334" t="str">
        <f t="shared" si="10"/>
        <v>Arabica</v>
      </c>
      <c r="O334" t="str">
        <f t="shared" si="11"/>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L335*orders!E335</f>
        <v>23.88</v>
      </c>
      <c r="N335" t="str">
        <f t="shared" si="10"/>
        <v>Robusta</v>
      </c>
      <c r="O335" t="str">
        <f t="shared" si="11"/>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L336*orders!E336</f>
        <v>59.75</v>
      </c>
      <c r="N336" t="str">
        <f t="shared" si="10"/>
        <v>Robusta</v>
      </c>
      <c r="O336" t="str">
        <f t="shared" si="11"/>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L337*orders!E337</f>
        <v>28.53</v>
      </c>
      <c r="N337" t="str">
        <f t="shared" si="10"/>
        <v>Liberica</v>
      </c>
      <c r="O337" t="str">
        <f t="shared" si="11"/>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L338*orders!E338</f>
        <v>45</v>
      </c>
      <c r="N338" t="str">
        <f t="shared" si="10"/>
        <v>Arabica</v>
      </c>
      <c r="O338" t="str">
        <f t="shared" si="11"/>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L339*orders!E339</f>
        <v>55.89</v>
      </c>
      <c r="N339" t="str">
        <f t="shared" si="10"/>
        <v>Excelsa</v>
      </c>
      <c r="O339" t="str">
        <f t="shared" si="11"/>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L340*orders!E340</f>
        <v>59.4</v>
      </c>
      <c r="N340" t="str">
        <f t="shared" si="10"/>
        <v>Excelsa</v>
      </c>
      <c r="O340" t="str">
        <f t="shared" si="11"/>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L341*orders!E341</f>
        <v>7.29</v>
      </c>
      <c r="N341" t="str">
        <f t="shared" si="10"/>
        <v>Excelsa</v>
      </c>
      <c r="O341" t="str">
        <f t="shared" si="11"/>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L342*orders!E342</f>
        <v>7.29</v>
      </c>
      <c r="N342" t="str">
        <f t="shared" si="10"/>
        <v>Excelsa</v>
      </c>
      <c r="O342" t="str">
        <f t="shared" si="11"/>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L343*orders!E343</f>
        <v>17.82</v>
      </c>
      <c r="N343" t="str">
        <f t="shared" si="10"/>
        <v>Excelsa</v>
      </c>
      <c r="O343" t="str">
        <f t="shared" si="11"/>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L344*orders!E344</f>
        <v>38.849999999999994</v>
      </c>
      <c r="N344" t="str">
        <f t="shared" si="10"/>
        <v>Liberica</v>
      </c>
      <c r="O344" t="str">
        <f t="shared" si="11"/>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L345*orders!E345</f>
        <v>32.22</v>
      </c>
      <c r="N345" t="str">
        <f t="shared" si="10"/>
        <v>Robusta</v>
      </c>
      <c r="O345" t="str">
        <f t="shared" si="11"/>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L346*orders!E346</f>
        <v>19.899999999999999</v>
      </c>
      <c r="N346" t="str">
        <f t="shared" si="10"/>
        <v>Robusta</v>
      </c>
      <c r="O346" t="str">
        <f t="shared" si="11"/>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L347*orders!E347</f>
        <v>59.75</v>
      </c>
      <c r="N347" t="str">
        <f t="shared" si="10"/>
        <v>Robusta</v>
      </c>
      <c r="O347" t="str">
        <f t="shared" si="11"/>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L348*orders!E348</f>
        <v>23.31</v>
      </c>
      <c r="N348" t="str">
        <f t="shared" si="10"/>
        <v>Arabica</v>
      </c>
      <c r="O348" t="str">
        <f t="shared" si="11"/>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L349*orders!E349</f>
        <v>43.650000000000006</v>
      </c>
      <c r="N349" t="str">
        <f t="shared" si="10"/>
        <v>Liberica</v>
      </c>
      <c r="O349" t="str">
        <f t="shared" si="11"/>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L350*orders!E350</f>
        <v>204.92999999999995</v>
      </c>
      <c r="N350" t="str">
        <f t="shared" si="10"/>
        <v>Excelsa</v>
      </c>
      <c r="O350" t="str">
        <f t="shared" si="11"/>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L351*orders!E351</f>
        <v>14.339999999999998</v>
      </c>
      <c r="N351" t="str">
        <f t="shared" si="10"/>
        <v>Robusta</v>
      </c>
      <c r="O351" t="str">
        <f t="shared" si="11"/>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L352*orders!E352</f>
        <v>23.88</v>
      </c>
      <c r="N352" t="str">
        <f t="shared" si="10"/>
        <v>Arabica</v>
      </c>
      <c r="O352" t="str">
        <f t="shared" si="11"/>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L353*orders!E353</f>
        <v>22.5</v>
      </c>
      <c r="N353" t="str">
        <f t="shared" si="10"/>
        <v>Arabica</v>
      </c>
      <c r="O353" t="str">
        <f t="shared" si="11"/>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L354*orders!E354</f>
        <v>36.450000000000003</v>
      </c>
      <c r="N354" t="str">
        <f t="shared" si="10"/>
        <v>Excelsa</v>
      </c>
      <c r="O354" t="str">
        <f t="shared" si="11"/>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L355*orders!E355</f>
        <v>27</v>
      </c>
      <c r="N355" t="str">
        <f t="shared" si="10"/>
        <v>Arabica</v>
      </c>
      <c r="O355" t="str">
        <f t="shared" si="11"/>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L356*orders!E356</f>
        <v>155.24999999999997</v>
      </c>
      <c r="N356" t="str">
        <f t="shared" si="10"/>
        <v>Arabica</v>
      </c>
      <c r="O356" t="str">
        <f t="shared" si="11"/>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L357*orders!E357</f>
        <v>114.42499999999998</v>
      </c>
      <c r="N357" t="str">
        <f t="shared" si="10"/>
        <v>Arabica</v>
      </c>
      <c r="O357" t="str">
        <f t="shared" si="11"/>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L358*orders!E358</f>
        <v>51.8</v>
      </c>
      <c r="N358" t="str">
        <f t="shared" si="10"/>
        <v>Liberica</v>
      </c>
      <c r="O358" t="str">
        <f t="shared" si="11"/>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L359*orders!E359</f>
        <v>155.24999999999997</v>
      </c>
      <c r="N359" t="str">
        <f t="shared" si="10"/>
        <v>Arabica</v>
      </c>
      <c r="O359" t="str">
        <f t="shared" si="11"/>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L360*orders!E360</f>
        <v>29.784999999999997</v>
      </c>
      <c r="N360" t="str">
        <f t="shared" si="10"/>
        <v>Arabica</v>
      </c>
      <c r="O360" t="str">
        <f t="shared" si="11"/>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L361*orders!E361</f>
        <v>21.509999999999998</v>
      </c>
      <c r="N361" t="str">
        <f t="shared" si="10"/>
        <v>Robusta</v>
      </c>
      <c r="O361" t="str">
        <f t="shared" si="11"/>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L362*orders!E362</f>
        <v>41.169999999999995</v>
      </c>
      <c r="N362" t="str">
        <f t="shared" si="10"/>
        <v>Robusta</v>
      </c>
      <c r="O362" t="str">
        <f t="shared" si="11"/>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L363*orders!E363</f>
        <v>5.97</v>
      </c>
      <c r="N363" t="str">
        <f t="shared" si="10"/>
        <v>Robusta</v>
      </c>
      <c r="O363" t="str">
        <f t="shared" si="11"/>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L364*orders!E364</f>
        <v>74.25</v>
      </c>
      <c r="N364" t="str">
        <f t="shared" si="10"/>
        <v>Excelsa</v>
      </c>
      <c r="O364" t="str">
        <f t="shared" si="11"/>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L365*orders!E365</f>
        <v>87.300000000000011</v>
      </c>
      <c r="N365" t="str">
        <f t="shared" si="10"/>
        <v>Liberica</v>
      </c>
      <c r="O365" t="str">
        <f t="shared" si="11"/>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L366*orders!E366</f>
        <v>72.900000000000006</v>
      </c>
      <c r="N366" t="str">
        <f t="shared" si="10"/>
        <v>Excelsa</v>
      </c>
      <c r="O366" t="str">
        <f t="shared" si="11"/>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L367*orders!E367</f>
        <v>7.77</v>
      </c>
      <c r="N367" t="str">
        <f t="shared" si="10"/>
        <v>Liberica</v>
      </c>
      <c r="O367" t="str">
        <f t="shared" si="11"/>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L368*orders!E368</f>
        <v>43.74</v>
      </c>
      <c r="N368" t="str">
        <f t="shared" si="10"/>
        <v>Excelsa</v>
      </c>
      <c r="O368" t="str">
        <f t="shared" si="11"/>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L369*orders!E369</f>
        <v>8.73</v>
      </c>
      <c r="N369" t="str">
        <f t="shared" si="10"/>
        <v>Liberica</v>
      </c>
      <c r="O369" t="str">
        <f t="shared" si="11"/>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L370*orders!E370</f>
        <v>63.249999999999993</v>
      </c>
      <c r="N370" t="str">
        <f t="shared" si="10"/>
        <v>Excelsa</v>
      </c>
      <c r="O370" t="str">
        <f t="shared" si="11"/>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L371*orders!E371</f>
        <v>8.91</v>
      </c>
      <c r="N371" t="str">
        <f t="shared" si="10"/>
        <v>Excelsa</v>
      </c>
      <c r="O371" t="str">
        <f t="shared" si="11"/>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L372*orders!E372</f>
        <v>24.3</v>
      </c>
      <c r="N372" t="str">
        <f t="shared" si="10"/>
        <v>Excelsa</v>
      </c>
      <c r="O372" t="str">
        <f t="shared" si="11"/>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L373*orders!E373</f>
        <v>46.62</v>
      </c>
      <c r="N373" t="str">
        <f t="shared" si="10"/>
        <v>Arabica</v>
      </c>
      <c r="O373" t="str">
        <f t="shared" si="11"/>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L374*orders!E374</f>
        <v>43.019999999999996</v>
      </c>
      <c r="N374" t="str">
        <f t="shared" si="10"/>
        <v>Robusta</v>
      </c>
      <c r="O374" t="str">
        <f t="shared" si="11"/>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L375*orders!E375</f>
        <v>17.91</v>
      </c>
      <c r="N375" t="str">
        <f t="shared" si="10"/>
        <v>Arabica</v>
      </c>
      <c r="O375" t="str">
        <f t="shared" si="11"/>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L376*orders!E376</f>
        <v>38.04</v>
      </c>
      <c r="N376" t="str">
        <f t="shared" si="10"/>
        <v>Liberica</v>
      </c>
      <c r="O376" t="str">
        <f t="shared" si="11"/>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L377*orders!E377</f>
        <v>6.75</v>
      </c>
      <c r="N377" t="str">
        <f t="shared" si="10"/>
        <v>Arabica</v>
      </c>
      <c r="O377" t="str">
        <f t="shared" si="11"/>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L378*orders!E378</f>
        <v>5.97</v>
      </c>
      <c r="N378" t="str">
        <f t="shared" si="10"/>
        <v>Robusta</v>
      </c>
      <c r="O378" t="str">
        <f t="shared" si="11"/>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L379*orders!E379</f>
        <v>8.0549999999999997</v>
      </c>
      <c r="N379" t="str">
        <f t="shared" si="10"/>
        <v>Robusta</v>
      </c>
      <c r="O379" t="str">
        <f t="shared" si="11"/>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L380*orders!E380</f>
        <v>23.31</v>
      </c>
      <c r="N380" t="str">
        <f t="shared" si="10"/>
        <v>Arabica</v>
      </c>
      <c r="O380" t="str">
        <f t="shared" si="11"/>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L381*orders!E381</f>
        <v>43.019999999999996</v>
      </c>
      <c r="N381" t="str">
        <f t="shared" si="10"/>
        <v>Robusta</v>
      </c>
      <c r="O381" t="str">
        <f t="shared" si="11"/>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L382*orders!E382</f>
        <v>23.31</v>
      </c>
      <c r="N382" t="str">
        <f t="shared" si="10"/>
        <v>Liberica</v>
      </c>
      <c r="O382" t="str">
        <f t="shared" si="11"/>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L383*orders!E383</f>
        <v>14.924999999999999</v>
      </c>
      <c r="N383" t="str">
        <f t="shared" si="10"/>
        <v>Arabica</v>
      </c>
      <c r="O383" t="str">
        <f t="shared" si="11"/>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L384*orders!E384</f>
        <v>21.87</v>
      </c>
      <c r="N384" t="str">
        <f t="shared" si="10"/>
        <v>Excelsa</v>
      </c>
      <c r="O384" t="str">
        <f t="shared" si="11"/>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L385*orders!E385</f>
        <v>53.46</v>
      </c>
      <c r="N385" t="str">
        <f t="shared" si="10"/>
        <v>Excelsa</v>
      </c>
      <c r="O385" t="str">
        <f t="shared" si="11"/>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L386*orders!E386</f>
        <v>119.13999999999999</v>
      </c>
      <c r="N386" t="str">
        <f t="shared" si="10"/>
        <v>Arabica</v>
      </c>
      <c r="O386" t="str">
        <f t="shared" si="11"/>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L387*orders!E387</f>
        <v>43.650000000000006</v>
      </c>
      <c r="N387" t="str">
        <f t="shared" ref="N387:N450" si="12">IF(I387="Rob","Robusta",IF(I387="Exc","Excelsa",IF(I387="Ara","Arabica",IF(I387="Lib","Liberica",""))))</f>
        <v>Liberica</v>
      </c>
      <c r="O387" t="str">
        <f t="shared" ref="O387:O450" si="13">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L388*orders!E388</f>
        <v>17.91</v>
      </c>
      <c r="N388" t="str">
        <f t="shared" si="12"/>
        <v>Arabica</v>
      </c>
      <c r="O388" t="str">
        <f t="shared" si="13"/>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L389*orders!E389</f>
        <v>74.25</v>
      </c>
      <c r="N389" t="str">
        <f t="shared" si="12"/>
        <v>Excelsa</v>
      </c>
      <c r="O389" t="str">
        <f t="shared" si="13"/>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L390*orders!E390</f>
        <v>11.654999999999999</v>
      </c>
      <c r="N390" t="str">
        <f t="shared" si="12"/>
        <v>Liberica</v>
      </c>
      <c r="O390" t="str">
        <f t="shared" si="13"/>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L391*orders!E391</f>
        <v>23.31</v>
      </c>
      <c r="N391" t="str">
        <f t="shared" si="12"/>
        <v>Liberica</v>
      </c>
      <c r="O391" t="str">
        <f t="shared" si="13"/>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L392*orders!E392</f>
        <v>14.58</v>
      </c>
      <c r="N392" t="str">
        <f t="shared" si="12"/>
        <v>Excelsa</v>
      </c>
      <c r="O392" t="str">
        <f t="shared" si="13"/>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L393*orders!E393</f>
        <v>13.5</v>
      </c>
      <c r="N393" t="str">
        <f t="shared" si="12"/>
        <v>Arabica</v>
      </c>
      <c r="O393" t="str">
        <f t="shared" si="13"/>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L394*orders!E394</f>
        <v>89.1</v>
      </c>
      <c r="N394" t="str">
        <f t="shared" si="12"/>
        <v>Excelsa</v>
      </c>
      <c r="O394" t="str">
        <f t="shared" si="13"/>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L395*orders!E395</f>
        <v>3.8849999999999998</v>
      </c>
      <c r="N395" t="str">
        <f t="shared" si="12"/>
        <v>Arabica</v>
      </c>
      <c r="O395" t="str">
        <f t="shared" si="13"/>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L396*orders!E396</f>
        <v>109.93999999999998</v>
      </c>
      <c r="N396" t="str">
        <f t="shared" si="12"/>
        <v>Robusta</v>
      </c>
      <c r="O396" t="str">
        <f t="shared" si="13"/>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L397*orders!E397</f>
        <v>46.62</v>
      </c>
      <c r="N397" t="str">
        <f t="shared" si="12"/>
        <v>Liberica</v>
      </c>
      <c r="O397" t="str">
        <f t="shared" si="13"/>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L398*orders!E398</f>
        <v>38.849999999999994</v>
      </c>
      <c r="N398" t="str">
        <f t="shared" si="12"/>
        <v>Arabica</v>
      </c>
      <c r="O398" t="str">
        <f t="shared" si="13"/>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L399*orders!E399</f>
        <v>31.08</v>
      </c>
      <c r="N399" t="str">
        <f t="shared" si="12"/>
        <v>Liberica</v>
      </c>
      <c r="O399" t="str">
        <f t="shared" si="13"/>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L400*orders!E400</f>
        <v>17.91</v>
      </c>
      <c r="N400" t="str">
        <f t="shared" si="12"/>
        <v>Arabica</v>
      </c>
      <c r="O400" t="str">
        <f t="shared" si="13"/>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L401*orders!E401</f>
        <v>167.67000000000002</v>
      </c>
      <c r="N401" t="str">
        <f t="shared" si="12"/>
        <v>Excelsa</v>
      </c>
      <c r="O401" t="str">
        <f t="shared" si="13"/>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L402*orders!E402</f>
        <v>63.4</v>
      </c>
      <c r="N402" t="str">
        <f t="shared" si="12"/>
        <v>Liberica</v>
      </c>
      <c r="O402" t="str">
        <f t="shared" si="13"/>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L403*orders!E403</f>
        <v>8.73</v>
      </c>
      <c r="N403" t="str">
        <f t="shared" si="12"/>
        <v>Liberica</v>
      </c>
      <c r="O403" t="str">
        <f t="shared" si="13"/>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L404*orders!E404</f>
        <v>26.849999999999998</v>
      </c>
      <c r="N404" t="str">
        <f t="shared" si="12"/>
        <v>Robusta</v>
      </c>
      <c r="O404" t="str">
        <f t="shared" si="13"/>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L405*orders!E405</f>
        <v>9.51</v>
      </c>
      <c r="N405" t="str">
        <f t="shared" si="12"/>
        <v>Liberica</v>
      </c>
      <c r="O405" t="str">
        <f t="shared" si="13"/>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L406*orders!E406</f>
        <v>39.799999999999997</v>
      </c>
      <c r="N406" t="str">
        <f t="shared" si="12"/>
        <v>Arabica</v>
      </c>
      <c r="O406" t="str">
        <f t="shared" si="13"/>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L407*orders!E407</f>
        <v>24.75</v>
      </c>
      <c r="N407" t="str">
        <f t="shared" si="12"/>
        <v>Excelsa</v>
      </c>
      <c r="O407" t="str">
        <f t="shared" si="13"/>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L408*orders!E408</f>
        <v>68.75</v>
      </c>
      <c r="N408" t="str">
        <f t="shared" si="12"/>
        <v>Excelsa</v>
      </c>
      <c r="O408" t="str">
        <f t="shared" si="13"/>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L409*orders!E409</f>
        <v>49.5</v>
      </c>
      <c r="N409" t="str">
        <f t="shared" si="12"/>
        <v>Excelsa</v>
      </c>
      <c r="O409" t="str">
        <f t="shared" si="13"/>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L410*orders!E410</f>
        <v>51.749999999999993</v>
      </c>
      <c r="N410" t="str">
        <f t="shared" si="12"/>
        <v>Arabica</v>
      </c>
      <c r="O410" t="str">
        <f t="shared" si="13"/>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L411*orders!E411</f>
        <v>47.55</v>
      </c>
      <c r="N411" t="str">
        <f t="shared" si="12"/>
        <v>Liberica</v>
      </c>
      <c r="O411" t="str">
        <f t="shared" si="13"/>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L412*orders!E412</f>
        <v>15.54</v>
      </c>
      <c r="N412" t="str">
        <f t="shared" si="12"/>
        <v>Arabica</v>
      </c>
      <c r="O412" t="str">
        <f t="shared" si="13"/>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L413*orders!E413</f>
        <v>87.300000000000011</v>
      </c>
      <c r="N413" t="str">
        <f t="shared" si="12"/>
        <v>Liberica</v>
      </c>
      <c r="O413" t="str">
        <f t="shared" si="13"/>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L414*orders!E414</f>
        <v>56.25</v>
      </c>
      <c r="N414" t="str">
        <f t="shared" si="12"/>
        <v>Arabica</v>
      </c>
      <c r="O414" t="str">
        <f t="shared" si="13"/>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L415*orders!E415</f>
        <v>36.454999999999998</v>
      </c>
      <c r="N415" t="str">
        <f t="shared" si="12"/>
        <v>Liberica</v>
      </c>
      <c r="O415" t="str">
        <f t="shared" si="13"/>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L416*orders!E416</f>
        <v>10.754999999999999</v>
      </c>
      <c r="N416" t="str">
        <f t="shared" si="12"/>
        <v>Robusta</v>
      </c>
      <c r="O416" t="str">
        <f t="shared" si="13"/>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L417*orders!E417</f>
        <v>8.9550000000000001</v>
      </c>
      <c r="N417" t="str">
        <f t="shared" si="12"/>
        <v>Robusta</v>
      </c>
      <c r="O417" t="str">
        <f t="shared" si="13"/>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L418*orders!E418</f>
        <v>23.31</v>
      </c>
      <c r="N418" t="str">
        <f t="shared" si="12"/>
        <v>Arabica</v>
      </c>
      <c r="O418" t="str">
        <f t="shared" si="13"/>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L419*orders!E419</f>
        <v>29.784999999999997</v>
      </c>
      <c r="N419" t="str">
        <f t="shared" si="12"/>
        <v>Arabica</v>
      </c>
      <c r="O419" t="str">
        <f t="shared" si="13"/>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L420*orders!E420</f>
        <v>148.92499999999998</v>
      </c>
      <c r="N420" t="str">
        <f t="shared" si="12"/>
        <v>Arabica</v>
      </c>
      <c r="O420" t="str">
        <f t="shared" si="13"/>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L421*orders!E421</f>
        <v>8.73</v>
      </c>
      <c r="N421" t="str">
        <f t="shared" si="12"/>
        <v>Liberica</v>
      </c>
      <c r="O421" t="str">
        <f t="shared" si="13"/>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L422*orders!E422</f>
        <v>31.08</v>
      </c>
      <c r="N422" t="str">
        <f t="shared" si="12"/>
        <v>Liberica</v>
      </c>
      <c r="O422" t="str">
        <f t="shared" si="13"/>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L423*orders!E423</f>
        <v>137.31</v>
      </c>
      <c r="N423" t="str">
        <f t="shared" si="12"/>
        <v>Arabica</v>
      </c>
      <c r="O423" t="str">
        <f t="shared" si="13"/>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L424*orders!E424</f>
        <v>29.849999999999998</v>
      </c>
      <c r="N424" t="str">
        <f t="shared" si="12"/>
        <v>Arabica</v>
      </c>
      <c r="O424" t="str">
        <f t="shared" si="13"/>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L425*orders!E425</f>
        <v>17.91</v>
      </c>
      <c r="N425" t="str">
        <f t="shared" si="12"/>
        <v>Robusta</v>
      </c>
      <c r="O425" t="str">
        <f t="shared" si="13"/>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L426*orders!E426</f>
        <v>26.73</v>
      </c>
      <c r="N426" t="str">
        <f t="shared" si="12"/>
        <v>Excelsa</v>
      </c>
      <c r="O426" t="str">
        <f t="shared" si="13"/>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L427*orders!E427</f>
        <v>17.899999999999999</v>
      </c>
      <c r="N427" t="str">
        <f t="shared" si="12"/>
        <v>Robusta</v>
      </c>
      <c r="O427" t="str">
        <f t="shared" si="13"/>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L428*orders!E428</f>
        <v>14.339999999999998</v>
      </c>
      <c r="N428" t="str">
        <f t="shared" si="12"/>
        <v>Robusta</v>
      </c>
      <c r="O428" t="str">
        <f t="shared" si="13"/>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L429*orders!E429</f>
        <v>77.624999999999986</v>
      </c>
      <c r="N429" t="str">
        <f t="shared" si="12"/>
        <v>Arabica</v>
      </c>
      <c r="O429" t="str">
        <f t="shared" si="13"/>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L430*orders!E430</f>
        <v>59.75</v>
      </c>
      <c r="N430" t="str">
        <f t="shared" si="12"/>
        <v>Robusta</v>
      </c>
      <c r="O430" t="str">
        <f t="shared" si="13"/>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L431*orders!E431</f>
        <v>77.699999999999989</v>
      </c>
      <c r="N431" t="str">
        <f t="shared" si="12"/>
        <v>Arabica</v>
      </c>
      <c r="O431" t="str">
        <f t="shared" si="13"/>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L432*orders!E432</f>
        <v>5.3699999999999992</v>
      </c>
      <c r="N432" t="str">
        <f t="shared" si="12"/>
        <v>Robusta</v>
      </c>
      <c r="O432" t="str">
        <f t="shared" si="13"/>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L433*orders!E433</f>
        <v>83.835000000000008</v>
      </c>
      <c r="N433" t="str">
        <f t="shared" si="12"/>
        <v>Excelsa</v>
      </c>
      <c r="O433" t="str">
        <f t="shared" si="13"/>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L434*orders!E434</f>
        <v>22.5</v>
      </c>
      <c r="N434" t="str">
        <f t="shared" si="12"/>
        <v>Arabica</v>
      </c>
      <c r="O434" t="str">
        <f t="shared" si="13"/>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L435*orders!E435</f>
        <v>200.78999999999996</v>
      </c>
      <c r="N435" t="str">
        <f t="shared" si="12"/>
        <v>Liberica</v>
      </c>
      <c r="O435" t="str">
        <f t="shared" si="13"/>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L436*orders!E436</f>
        <v>67.5</v>
      </c>
      <c r="N436" t="str">
        <f t="shared" si="12"/>
        <v>Arabica</v>
      </c>
      <c r="O436" t="str">
        <f t="shared" si="13"/>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L437*orders!E437</f>
        <v>8.25</v>
      </c>
      <c r="N437" t="str">
        <f t="shared" si="12"/>
        <v>Excelsa</v>
      </c>
      <c r="O437" t="str">
        <f t="shared" si="13"/>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L438*orders!E438</f>
        <v>9.51</v>
      </c>
      <c r="N438" t="str">
        <f t="shared" si="12"/>
        <v>Liberica</v>
      </c>
      <c r="O438" t="str">
        <f t="shared" si="13"/>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L439*orders!E439</f>
        <v>29.784999999999997</v>
      </c>
      <c r="N439" t="str">
        <f t="shared" si="12"/>
        <v>Liberica</v>
      </c>
      <c r="O439" t="str">
        <f t="shared" si="13"/>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L440*orders!E440</f>
        <v>15.54</v>
      </c>
      <c r="N440" t="str">
        <f t="shared" si="12"/>
        <v>Liberica</v>
      </c>
      <c r="O440" t="str">
        <f t="shared" si="13"/>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L441*orders!E441</f>
        <v>35.64</v>
      </c>
      <c r="N441" t="str">
        <f t="shared" si="12"/>
        <v>Excelsa</v>
      </c>
      <c r="O441" t="str">
        <f t="shared" si="13"/>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L442*orders!E442</f>
        <v>103.49999999999999</v>
      </c>
      <c r="N442" t="str">
        <f t="shared" si="12"/>
        <v>Arabica</v>
      </c>
      <c r="O442" t="str">
        <f t="shared" si="13"/>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L443*orders!E443</f>
        <v>36.450000000000003</v>
      </c>
      <c r="N443" t="str">
        <f t="shared" si="12"/>
        <v>Excelsa</v>
      </c>
      <c r="O443" t="str">
        <f t="shared" si="13"/>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L444*orders!E444</f>
        <v>35.849999999999994</v>
      </c>
      <c r="N444" t="str">
        <f t="shared" si="12"/>
        <v>Robusta</v>
      </c>
      <c r="O444" t="str">
        <f t="shared" si="13"/>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L445*orders!E445</f>
        <v>22.274999999999999</v>
      </c>
      <c r="N445" t="str">
        <f t="shared" si="12"/>
        <v>Excelsa</v>
      </c>
      <c r="O445" t="str">
        <f t="shared" si="13"/>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L446*orders!E446</f>
        <v>24.75</v>
      </c>
      <c r="N446" t="str">
        <f t="shared" si="12"/>
        <v>Excelsa</v>
      </c>
      <c r="O446" t="str">
        <f t="shared" si="13"/>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L447*orders!E447</f>
        <v>66.929999999999993</v>
      </c>
      <c r="N447" t="str">
        <f t="shared" si="12"/>
        <v>Liberica</v>
      </c>
      <c r="O447" t="str">
        <f t="shared" si="13"/>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L448*orders!E448</f>
        <v>8.73</v>
      </c>
      <c r="N448" t="str">
        <f t="shared" si="12"/>
        <v>Liberica</v>
      </c>
      <c r="O448" t="str">
        <f t="shared" si="13"/>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L449*orders!E449</f>
        <v>17.91</v>
      </c>
      <c r="N449" t="str">
        <f t="shared" si="12"/>
        <v>Robusta</v>
      </c>
      <c r="O449" t="str">
        <f t="shared" si="13"/>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L450*orders!E450</f>
        <v>7.169999999999999</v>
      </c>
      <c r="N450" t="str">
        <f t="shared" si="12"/>
        <v>Robusta</v>
      </c>
      <c r="O450" t="str">
        <f t="shared" si="13"/>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L451*orders!E451</f>
        <v>5.3699999999999992</v>
      </c>
      <c r="N451" t="str">
        <f t="shared" ref="N451:N514" si="14">IF(I451="Rob","Robusta",IF(I451="Exc","Excelsa",IF(I451="Ara","Arabica",IF(I451="Lib","Liberica",""))))</f>
        <v>Robusta</v>
      </c>
      <c r="O451" t="str">
        <f t="shared" ref="O451:O514" si="15">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L452*orders!E452</f>
        <v>23.774999999999999</v>
      </c>
      <c r="N452" t="str">
        <f t="shared" si="14"/>
        <v>Liberica</v>
      </c>
      <c r="O452" t="str">
        <f t="shared" si="15"/>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L453*orders!E453</f>
        <v>41.169999999999995</v>
      </c>
      <c r="N453" t="str">
        <f t="shared" si="14"/>
        <v>Robusta</v>
      </c>
      <c r="O453" t="str">
        <f t="shared" si="15"/>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L454*orders!E454</f>
        <v>11.654999999999999</v>
      </c>
      <c r="N454" t="str">
        <f t="shared" si="14"/>
        <v>Arabica</v>
      </c>
      <c r="O454" t="str">
        <f t="shared" si="15"/>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L455*orders!E455</f>
        <v>38.04</v>
      </c>
      <c r="N455" t="str">
        <f t="shared" si="14"/>
        <v>Liberica</v>
      </c>
      <c r="O455" t="str">
        <f t="shared" si="15"/>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L456*orders!E456</f>
        <v>82.339999999999989</v>
      </c>
      <c r="N456" t="str">
        <f t="shared" si="14"/>
        <v>Robusta</v>
      </c>
      <c r="O456" t="str">
        <f t="shared" si="15"/>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L457*orders!E457</f>
        <v>9.51</v>
      </c>
      <c r="N457" t="str">
        <f t="shared" si="14"/>
        <v>Liberica</v>
      </c>
      <c r="O457" t="str">
        <f t="shared" si="15"/>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L458*orders!E458</f>
        <v>41.169999999999995</v>
      </c>
      <c r="N458" t="str">
        <f t="shared" si="14"/>
        <v>Robusta</v>
      </c>
      <c r="O458" t="str">
        <f t="shared" si="15"/>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L459*orders!E459</f>
        <v>47.55</v>
      </c>
      <c r="N459" t="str">
        <f t="shared" si="14"/>
        <v>Liberica</v>
      </c>
      <c r="O459" t="str">
        <f t="shared" si="15"/>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L460*orders!E460</f>
        <v>45</v>
      </c>
      <c r="N460" t="str">
        <f t="shared" si="14"/>
        <v>Arabica</v>
      </c>
      <c r="O460" t="str">
        <f t="shared" si="15"/>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L461*orders!E461</f>
        <v>23.774999999999999</v>
      </c>
      <c r="N461" t="str">
        <f t="shared" si="14"/>
        <v>Liberica</v>
      </c>
      <c r="O461" t="str">
        <f t="shared" si="15"/>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L462*orders!E462</f>
        <v>16.11</v>
      </c>
      <c r="N462" t="str">
        <f t="shared" si="14"/>
        <v>Robusta</v>
      </c>
      <c r="O462" t="str">
        <f t="shared" si="15"/>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L463*orders!E463</f>
        <v>10.739999999999998</v>
      </c>
      <c r="N463" t="str">
        <f t="shared" si="14"/>
        <v>Robusta</v>
      </c>
      <c r="O463" t="str">
        <f t="shared" si="15"/>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L464*orders!E464</f>
        <v>49.75</v>
      </c>
      <c r="N464" t="str">
        <f t="shared" si="14"/>
        <v>Arabica</v>
      </c>
      <c r="O464" t="str">
        <f t="shared" si="15"/>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L465*orders!E465</f>
        <v>27.5</v>
      </c>
      <c r="N465" t="str">
        <f t="shared" si="14"/>
        <v>Excelsa</v>
      </c>
      <c r="O465" t="str">
        <f t="shared" si="15"/>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L466*orders!E466</f>
        <v>119.13999999999999</v>
      </c>
      <c r="N466" t="str">
        <f t="shared" si="14"/>
        <v>Liberica</v>
      </c>
      <c r="O466" t="str">
        <f t="shared" si="15"/>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L467*orders!E467</f>
        <v>20.584999999999997</v>
      </c>
      <c r="N467" t="str">
        <f t="shared" si="14"/>
        <v>Robusta</v>
      </c>
      <c r="O467" t="str">
        <f t="shared" si="15"/>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L468*orders!E468</f>
        <v>8.9550000000000001</v>
      </c>
      <c r="N468" t="str">
        <f t="shared" si="14"/>
        <v>Arabica</v>
      </c>
      <c r="O468" t="str">
        <f t="shared" si="15"/>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L469*orders!E469</f>
        <v>5.97</v>
      </c>
      <c r="N469" t="str">
        <f t="shared" si="14"/>
        <v>Arabica</v>
      </c>
      <c r="O469" t="str">
        <f t="shared" si="15"/>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L470*orders!E470</f>
        <v>41.25</v>
      </c>
      <c r="N470" t="str">
        <f t="shared" si="14"/>
        <v>Excelsa</v>
      </c>
      <c r="O470" t="str">
        <f t="shared" si="15"/>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L471*orders!E471</f>
        <v>22.274999999999999</v>
      </c>
      <c r="N471" t="str">
        <f t="shared" si="14"/>
        <v>Excelsa</v>
      </c>
      <c r="O471" t="str">
        <f t="shared" si="15"/>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L472*orders!E472</f>
        <v>6.75</v>
      </c>
      <c r="N472" t="str">
        <f t="shared" si="14"/>
        <v>Arabica</v>
      </c>
      <c r="O472" t="str">
        <f t="shared" si="15"/>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L473*orders!E473</f>
        <v>133.85999999999999</v>
      </c>
      <c r="N473" t="str">
        <f t="shared" si="14"/>
        <v>Liberica</v>
      </c>
      <c r="O473" t="str">
        <f t="shared" si="15"/>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L474*orders!E474</f>
        <v>5.97</v>
      </c>
      <c r="N474" t="str">
        <f t="shared" si="14"/>
        <v>Arabica</v>
      </c>
      <c r="O474" t="str">
        <f t="shared" si="15"/>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L475*orders!E475</f>
        <v>25.9</v>
      </c>
      <c r="N475" t="str">
        <f t="shared" si="14"/>
        <v>Arabica</v>
      </c>
      <c r="O475" t="str">
        <f t="shared" si="15"/>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L476*orders!E476</f>
        <v>31.624999999999996</v>
      </c>
      <c r="N476" t="str">
        <f t="shared" si="14"/>
        <v>Excelsa</v>
      </c>
      <c r="O476" t="str">
        <f t="shared" si="15"/>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L477*orders!E477</f>
        <v>8.73</v>
      </c>
      <c r="N477" t="str">
        <f t="shared" si="14"/>
        <v>Liberica</v>
      </c>
      <c r="O477" t="str">
        <f t="shared" si="15"/>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L478*orders!E478</f>
        <v>26.73</v>
      </c>
      <c r="N478" t="str">
        <f t="shared" si="14"/>
        <v>Excelsa</v>
      </c>
      <c r="O478" t="str">
        <f t="shared" si="15"/>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L479*orders!E479</f>
        <v>26.19</v>
      </c>
      <c r="N479" t="str">
        <f t="shared" si="14"/>
        <v>Liberica</v>
      </c>
      <c r="O479" t="str">
        <f t="shared" si="15"/>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L480*orders!E480</f>
        <v>53.699999999999996</v>
      </c>
      <c r="N480" t="str">
        <f t="shared" si="14"/>
        <v>Robusta</v>
      </c>
      <c r="O480" t="str">
        <f t="shared" si="15"/>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L481*orders!E481</f>
        <v>126.49999999999999</v>
      </c>
      <c r="N481" t="str">
        <f t="shared" si="14"/>
        <v>Excelsa</v>
      </c>
      <c r="O481" t="str">
        <f t="shared" si="15"/>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L482*orders!E482</f>
        <v>4.125</v>
      </c>
      <c r="N482" t="str">
        <f t="shared" si="14"/>
        <v>Excelsa</v>
      </c>
      <c r="O482" t="str">
        <f t="shared" si="15"/>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L483*orders!E483</f>
        <v>23.9</v>
      </c>
      <c r="N483" t="str">
        <f t="shared" si="14"/>
        <v>Robusta</v>
      </c>
      <c r="O483" t="str">
        <f t="shared" si="15"/>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L484*orders!E484</f>
        <v>139.72499999999999</v>
      </c>
      <c r="N484" t="str">
        <f t="shared" si="14"/>
        <v>Excelsa</v>
      </c>
      <c r="O484" t="str">
        <f t="shared" si="15"/>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L485*orders!E485</f>
        <v>59.569999999999993</v>
      </c>
      <c r="N485" t="str">
        <f t="shared" si="14"/>
        <v>Liberica</v>
      </c>
      <c r="O485" t="str">
        <f t="shared" si="15"/>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L486*orders!E486</f>
        <v>57.06</v>
      </c>
      <c r="N486" t="str">
        <f t="shared" si="14"/>
        <v>Liberica</v>
      </c>
      <c r="O486" t="str">
        <f t="shared" si="15"/>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L487*orders!E487</f>
        <v>21.509999999999998</v>
      </c>
      <c r="N487" t="str">
        <f t="shared" si="14"/>
        <v>Robusta</v>
      </c>
      <c r="O487" t="str">
        <f t="shared" si="15"/>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L488*orders!E488</f>
        <v>52.38</v>
      </c>
      <c r="N488" t="str">
        <f t="shared" si="14"/>
        <v>Liberica</v>
      </c>
      <c r="O488" t="str">
        <f t="shared" si="15"/>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L489*orders!E489</f>
        <v>72.900000000000006</v>
      </c>
      <c r="N489" t="str">
        <f t="shared" si="14"/>
        <v>Excelsa</v>
      </c>
      <c r="O489" t="str">
        <f t="shared" si="15"/>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L490*orders!E490</f>
        <v>14.924999999999999</v>
      </c>
      <c r="N490" t="str">
        <f t="shared" si="14"/>
        <v>Robusta</v>
      </c>
      <c r="O490" t="str">
        <f t="shared" si="15"/>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L491*orders!E491</f>
        <v>95.1</v>
      </c>
      <c r="N491" t="str">
        <f t="shared" si="14"/>
        <v>Liberica</v>
      </c>
      <c r="O491" t="str">
        <f t="shared" si="15"/>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L492*orders!E492</f>
        <v>15.54</v>
      </c>
      <c r="N492" t="str">
        <f t="shared" si="14"/>
        <v>Liberica</v>
      </c>
      <c r="O492" t="str">
        <f t="shared" si="15"/>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L493*orders!E493</f>
        <v>23.31</v>
      </c>
      <c r="N493" t="str">
        <f t="shared" si="14"/>
        <v>Liberica</v>
      </c>
      <c r="O493" t="str">
        <f t="shared" si="15"/>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L494*orders!E494</f>
        <v>4.125</v>
      </c>
      <c r="N494" t="str">
        <f t="shared" si="14"/>
        <v>Excelsa</v>
      </c>
      <c r="O494" t="str">
        <f t="shared" si="15"/>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L495*orders!E495</f>
        <v>35.82</v>
      </c>
      <c r="N495" t="str">
        <f t="shared" si="14"/>
        <v>Robusta</v>
      </c>
      <c r="O495" t="str">
        <f t="shared" si="15"/>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L496*orders!E496</f>
        <v>31.7</v>
      </c>
      <c r="N496" t="str">
        <f t="shared" si="14"/>
        <v>Liberica</v>
      </c>
      <c r="O496" t="str">
        <f t="shared" si="15"/>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L497*orders!E497</f>
        <v>79.25</v>
      </c>
      <c r="N497" t="str">
        <f t="shared" si="14"/>
        <v>Liberica</v>
      </c>
      <c r="O497" t="str">
        <f t="shared" si="15"/>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L498*orders!E498</f>
        <v>10.935</v>
      </c>
      <c r="N498" t="str">
        <f t="shared" si="14"/>
        <v>Excelsa</v>
      </c>
      <c r="O498" t="str">
        <f t="shared" si="15"/>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L499*orders!E499</f>
        <v>39.799999999999997</v>
      </c>
      <c r="N499" t="str">
        <f t="shared" si="14"/>
        <v>Arabica</v>
      </c>
      <c r="O499" t="str">
        <f t="shared" si="15"/>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L500*orders!E500</f>
        <v>49.75</v>
      </c>
      <c r="N500" t="str">
        <f t="shared" si="14"/>
        <v>Robusta</v>
      </c>
      <c r="O500" t="str">
        <f t="shared" si="15"/>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L501*orders!E501</f>
        <v>8.0549999999999997</v>
      </c>
      <c r="N501" t="str">
        <f t="shared" si="14"/>
        <v>Robusta</v>
      </c>
      <c r="O501" t="str">
        <f t="shared" si="15"/>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L502*orders!E502</f>
        <v>47.8</v>
      </c>
      <c r="N502" t="str">
        <f t="shared" si="14"/>
        <v>Robusta</v>
      </c>
      <c r="O502" t="str">
        <f t="shared" si="15"/>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L503*orders!E503</f>
        <v>11.94</v>
      </c>
      <c r="N503" t="str">
        <f t="shared" si="14"/>
        <v>Robusta</v>
      </c>
      <c r="O503" t="str">
        <f t="shared" si="15"/>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L504*orders!E504</f>
        <v>16.5</v>
      </c>
      <c r="N504" t="str">
        <f t="shared" si="14"/>
        <v>Excelsa</v>
      </c>
      <c r="O504" t="str">
        <f t="shared" si="15"/>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L505*orders!E505</f>
        <v>51.8</v>
      </c>
      <c r="N505" t="str">
        <f t="shared" si="14"/>
        <v>Liberica</v>
      </c>
      <c r="O505" t="str">
        <f t="shared" si="15"/>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L506*orders!E506</f>
        <v>14.265000000000001</v>
      </c>
      <c r="N506" t="str">
        <f t="shared" si="14"/>
        <v>Liberica</v>
      </c>
      <c r="O506" t="str">
        <f t="shared" si="15"/>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L507*orders!E507</f>
        <v>26.19</v>
      </c>
      <c r="N507" t="str">
        <f t="shared" si="14"/>
        <v>Liberica</v>
      </c>
      <c r="O507" t="str">
        <f t="shared" si="15"/>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L508*orders!E508</f>
        <v>25.9</v>
      </c>
      <c r="N508" t="str">
        <f t="shared" si="14"/>
        <v>Arabica</v>
      </c>
      <c r="O508" t="str">
        <f t="shared" si="15"/>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L509*orders!E509</f>
        <v>89.35499999999999</v>
      </c>
      <c r="N509" t="str">
        <f t="shared" si="14"/>
        <v>Arabica</v>
      </c>
      <c r="O509" t="str">
        <f t="shared" si="15"/>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L510*orders!E510</f>
        <v>46.62</v>
      </c>
      <c r="N510" t="str">
        <f t="shared" si="14"/>
        <v>Liberica</v>
      </c>
      <c r="O510" t="str">
        <f t="shared" si="15"/>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L511*orders!E511</f>
        <v>29.849999999999998</v>
      </c>
      <c r="N511" t="str">
        <f t="shared" si="14"/>
        <v>Arabica</v>
      </c>
      <c r="O511" t="str">
        <f t="shared" si="15"/>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L512*orders!E512</f>
        <v>10.754999999999999</v>
      </c>
      <c r="N512" t="str">
        <f t="shared" si="14"/>
        <v>Robusta</v>
      </c>
      <c r="O512" t="str">
        <f t="shared" si="15"/>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L513*orders!E513</f>
        <v>13.5</v>
      </c>
      <c r="N513" t="str">
        <f t="shared" si="14"/>
        <v>Arabica</v>
      </c>
      <c r="O513" t="str">
        <f t="shared" si="15"/>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L514*orders!E514</f>
        <v>47.55</v>
      </c>
      <c r="N514" t="str">
        <f t="shared" si="14"/>
        <v>Liberica</v>
      </c>
      <c r="O514" t="str">
        <f t="shared" si="15"/>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L515*orders!E515</f>
        <v>79.25</v>
      </c>
      <c r="N515" t="str">
        <f t="shared" ref="N515:N578" si="16">IF(I515="Rob","Robusta",IF(I515="Exc","Excelsa",IF(I515="Ara","Arabica",IF(I515="Lib","Liberica",""))))</f>
        <v>Liberica</v>
      </c>
      <c r="O515" t="str">
        <f t="shared" ref="O515:O578" si="17">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L516*orders!E516</f>
        <v>26.19</v>
      </c>
      <c r="N516" t="str">
        <f t="shared" si="16"/>
        <v>Liberica</v>
      </c>
      <c r="O516" t="str">
        <f t="shared" si="17"/>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L517*orders!E517</f>
        <v>21.509999999999998</v>
      </c>
      <c r="N517" t="str">
        <f t="shared" si="16"/>
        <v>Robusta</v>
      </c>
      <c r="O517" t="str">
        <f t="shared" si="17"/>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L518*orders!E518</f>
        <v>102.92499999999998</v>
      </c>
      <c r="N518" t="str">
        <f t="shared" si="16"/>
        <v>Robusta</v>
      </c>
      <c r="O518" t="str">
        <f t="shared" si="17"/>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L519*orders!E519</f>
        <v>7.77</v>
      </c>
      <c r="N519" t="str">
        <f t="shared" si="16"/>
        <v>Liberica</v>
      </c>
      <c r="O519" t="str">
        <f t="shared" si="17"/>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L520*orders!E520</f>
        <v>139.72499999999999</v>
      </c>
      <c r="N520" t="str">
        <f t="shared" si="16"/>
        <v>Excelsa</v>
      </c>
      <c r="O520" t="str">
        <f t="shared" si="17"/>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L521*orders!E521</f>
        <v>11.94</v>
      </c>
      <c r="N521" t="str">
        <f t="shared" si="16"/>
        <v>Arabica</v>
      </c>
      <c r="O521" t="str">
        <f t="shared" si="17"/>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L522*orders!E522</f>
        <v>3.8849999999999998</v>
      </c>
      <c r="N522" t="str">
        <f t="shared" si="16"/>
        <v>Liberica</v>
      </c>
      <c r="O522" t="str">
        <f t="shared" si="17"/>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L523*orders!E523</f>
        <v>39.799999999999997</v>
      </c>
      <c r="N523" t="str">
        <f t="shared" si="16"/>
        <v>Robusta</v>
      </c>
      <c r="O523" t="str">
        <f t="shared" si="17"/>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L524*orders!E524</f>
        <v>29.849999999999998</v>
      </c>
      <c r="N524" t="str">
        <f t="shared" si="16"/>
        <v>Robusta</v>
      </c>
      <c r="O524" t="str">
        <f t="shared" si="17"/>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L525*orders!E525</f>
        <v>29.784999999999997</v>
      </c>
      <c r="N525" t="str">
        <f t="shared" si="16"/>
        <v>Liberica</v>
      </c>
      <c r="O525" t="str">
        <f t="shared" si="17"/>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L526*orders!E526</f>
        <v>72.91</v>
      </c>
      <c r="N526" t="str">
        <f t="shared" si="16"/>
        <v>Liberica</v>
      </c>
      <c r="O526" t="str">
        <f t="shared" si="17"/>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L527*orders!E527</f>
        <v>13.424999999999997</v>
      </c>
      <c r="N527" t="str">
        <f t="shared" si="16"/>
        <v>Robusta</v>
      </c>
      <c r="O527" t="str">
        <f t="shared" si="17"/>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L528*orders!E528</f>
        <v>126.49999999999999</v>
      </c>
      <c r="N528" t="str">
        <f t="shared" si="16"/>
        <v>Excelsa</v>
      </c>
      <c r="O528" t="str">
        <f t="shared" si="17"/>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L529*orders!E529</f>
        <v>41.25</v>
      </c>
      <c r="N529" t="str">
        <f t="shared" si="16"/>
        <v>Excelsa</v>
      </c>
      <c r="O529" t="str">
        <f t="shared" si="17"/>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L530*orders!E530</f>
        <v>53.46</v>
      </c>
      <c r="N530" t="str">
        <f t="shared" si="16"/>
        <v>Excelsa</v>
      </c>
      <c r="O530" t="str">
        <f t="shared" si="17"/>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L531*orders!E531</f>
        <v>59.699999999999996</v>
      </c>
      <c r="N531" t="str">
        <f t="shared" si="16"/>
        <v>Robusta</v>
      </c>
      <c r="O531" t="str">
        <f t="shared" si="17"/>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L532*orders!E532</f>
        <v>59.699999999999996</v>
      </c>
      <c r="N532" t="str">
        <f t="shared" si="16"/>
        <v>Robusta</v>
      </c>
      <c r="O532" t="str">
        <f t="shared" si="17"/>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L533*orders!E533</f>
        <v>44.75</v>
      </c>
      <c r="N533" t="str">
        <f t="shared" si="16"/>
        <v>Robusta</v>
      </c>
      <c r="O533" t="str">
        <f t="shared" si="17"/>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L534*orders!E534</f>
        <v>16.5</v>
      </c>
      <c r="N534" t="str">
        <f t="shared" si="16"/>
        <v>Excelsa</v>
      </c>
      <c r="O534" t="str">
        <f t="shared" si="17"/>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L535*orders!E535</f>
        <v>21.479999999999997</v>
      </c>
      <c r="N535" t="str">
        <f t="shared" si="16"/>
        <v>Robusta</v>
      </c>
      <c r="O535" t="str">
        <f t="shared" si="17"/>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L536*orders!E536</f>
        <v>45.769999999999996</v>
      </c>
      <c r="N536" t="str">
        <f t="shared" si="16"/>
        <v>Robusta</v>
      </c>
      <c r="O536" t="str">
        <f t="shared" si="17"/>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L537*orders!E537</f>
        <v>9.51</v>
      </c>
      <c r="N537" t="str">
        <f t="shared" si="16"/>
        <v>Liberica</v>
      </c>
      <c r="O537" t="str">
        <f t="shared" si="17"/>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L538*orders!E538</f>
        <v>8.0549999999999997</v>
      </c>
      <c r="N538" t="str">
        <f t="shared" si="16"/>
        <v>Robusta</v>
      </c>
      <c r="O538" t="str">
        <f t="shared" si="17"/>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L539*orders!E539</f>
        <v>111.78</v>
      </c>
      <c r="N539" t="str">
        <f t="shared" si="16"/>
        <v>Excelsa</v>
      </c>
      <c r="O539" t="str">
        <f t="shared" si="17"/>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L540*orders!E540</f>
        <v>10.739999999999998</v>
      </c>
      <c r="N540" t="str">
        <f t="shared" si="16"/>
        <v>Robusta</v>
      </c>
      <c r="O540" t="str">
        <f t="shared" si="17"/>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L541*orders!E541</f>
        <v>26.849999999999994</v>
      </c>
      <c r="N541" t="str">
        <f t="shared" si="16"/>
        <v>Robusta</v>
      </c>
      <c r="O541" t="str">
        <f t="shared" si="17"/>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L542*orders!E542</f>
        <v>63.4</v>
      </c>
      <c r="N542" t="str">
        <f t="shared" si="16"/>
        <v>Liberica</v>
      </c>
      <c r="O542" t="str">
        <f t="shared" si="17"/>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L543*orders!E543</f>
        <v>22.884999999999998</v>
      </c>
      <c r="N543" t="str">
        <f t="shared" si="16"/>
        <v>Arabica</v>
      </c>
      <c r="O543" t="str">
        <f t="shared" si="17"/>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L544*orders!E544</f>
        <v>103.49999999999999</v>
      </c>
      <c r="N544" t="str">
        <f t="shared" si="16"/>
        <v>Arabica</v>
      </c>
      <c r="O544" t="str">
        <f t="shared" si="17"/>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L545*orders!E545</f>
        <v>54.969999999999992</v>
      </c>
      <c r="N545" t="str">
        <f t="shared" si="16"/>
        <v>Robusta</v>
      </c>
      <c r="O545" t="str">
        <f t="shared" si="17"/>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L546*orders!E546</f>
        <v>15.54</v>
      </c>
      <c r="N546" t="str">
        <f t="shared" si="16"/>
        <v>Arabica</v>
      </c>
      <c r="O546" t="str">
        <f t="shared" si="17"/>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L547*orders!E547</f>
        <v>15.54</v>
      </c>
      <c r="N547" t="str">
        <f t="shared" si="16"/>
        <v>Liberica</v>
      </c>
      <c r="O547" t="str">
        <f t="shared" si="17"/>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L548*orders!E548</f>
        <v>83.835000000000008</v>
      </c>
      <c r="N548" t="str">
        <f t="shared" si="16"/>
        <v>Excelsa</v>
      </c>
      <c r="O548" t="str">
        <f t="shared" si="17"/>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L549*orders!E549</f>
        <v>10.754999999999999</v>
      </c>
      <c r="N549" t="str">
        <f t="shared" si="16"/>
        <v>Robusta</v>
      </c>
      <c r="O549" t="str">
        <f t="shared" si="17"/>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L550*orders!E550</f>
        <v>13.365</v>
      </c>
      <c r="N550" t="str">
        <f t="shared" si="16"/>
        <v>Excelsa</v>
      </c>
      <c r="O550" t="str">
        <f t="shared" si="17"/>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L551*orders!E551</f>
        <v>17.82</v>
      </c>
      <c r="N551" t="str">
        <f t="shared" si="16"/>
        <v>Excelsa</v>
      </c>
      <c r="O551" t="str">
        <f t="shared" si="17"/>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L552*orders!E552</f>
        <v>23.31</v>
      </c>
      <c r="N552" t="str">
        <f t="shared" si="16"/>
        <v>Liberica</v>
      </c>
      <c r="O552" t="str">
        <f t="shared" si="17"/>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L553*orders!E553</f>
        <v>7.29</v>
      </c>
      <c r="N553" t="str">
        <f t="shared" si="16"/>
        <v>Excelsa</v>
      </c>
      <c r="O553" t="str">
        <f t="shared" si="17"/>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L554*orders!E554</f>
        <v>17.82</v>
      </c>
      <c r="N554" t="str">
        <f t="shared" si="16"/>
        <v>Excelsa</v>
      </c>
      <c r="O554" t="str">
        <f t="shared" si="17"/>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L555*orders!E555</f>
        <v>68.75</v>
      </c>
      <c r="N555" t="str">
        <f t="shared" si="16"/>
        <v>Excelsa</v>
      </c>
      <c r="O555" t="str">
        <f t="shared" si="17"/>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L556*orders!E556</f>
        <v>54.969999999999992</v>
      </c>
      <c r="N556" t="str">
        <f t="shared" si="16"/>
        <v>Robusta</v>
      </c>
      <c r="O556" t="str">
        <f t="shared" si="17"/>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L557*orders!E557</f>
        <v>82.5</v>
      </c>
      <c r="N557" t="str">
        <f t="shared" si="16"/>
        <v>Excelsa</v>
      </c>
      <c r="O557" t="str">
        <f t="shared" si="17"/>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L558*orders!E558</f>
        <v>8.73</v>
      </c>
      <c r="N558" t="str">
        <f t="shared" si="16"/>
        <v>Liberica</v>
      </c>
      <c r="O558" t="str">
        <f t="shared" si="17"/>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L559*orders!E559</f>
        <v>59.4</v>
      </c>
      <c r="N559" t="str">
        <f t="shared" si="16"/>
        <v>Excelsa</v>
      </c>
      <c r="O559" t="str">
        <f t="shared" si="17"/>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L560*orders!E560</f>
        <v>15.54</v>
      </c>
      <c r="N560" t="str">
        <f t="shared" si="16"/>
        <v>Liberica</v>
      </c>
      <c r="O560" t="str">
        <f t="shared" si="17"/>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L561*orders!E561</f>
        <v>38.849999999999994</v>
      </c>
      <c r="N561" t="str">
        <f t="shared" si="16"/>
        <v>Arabica</v>
      </c>
      <c r="O561" t="str">
        <f t="shared" si="17"/>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L562*orders!E562</f>
        <v>189.74999999999997</v>
      </c>
      <c r="N562" t="str">
        <f t="shared" si="16"/>
        <v>Excelsa</v>
      </c>
      <c r="O562" t="str">
        <f t="shared" si="17"/>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L563*orders!E563</f>
        <v>17.91</v>
      </c>
      <c r="N563" t="str">
        <f t="shared" si="16"/>
        <v>Arabica</v>
      </c>
      <c r="O563" t="str">
        <f t="shared" si="17"/>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L564*orders!E564</f>
        <v>28.53</v>
      </c>
      <c r="N564" t="str">
        <f t="shared" si="16"/>
        <v>Liberica</v>
      </c>
      <c r="O564" t="str">
        <f t="shared" si="17"/>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L565*orders!E565</f>
        <v>82.5</v>
      </c>
      <c r="N565" t="str">
        <f t="shared" si="16"/>
        <v>Excelsa</v>
      </c>
      <c r="O565" t="str">
        <f t="shared" si="17"/>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L566*orders!E566</f>
        <v>14.339999999999998</v>
      </c>
      <c r="N566" t="str">
        <f t="shared" si="16"/>
        <v>Robusta</v>
      </c>
      <c r="O566" t="str">
        <f t="shared" si="17"/>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L567*orders!E567</f>
        <v>82.339999999999989</v>
      </c>
      <c r="N567" t="str">
        <f t="shared" si="16"/>
        <v>Robusta</v>
      </c>
      <c r="O567" t="str">
        <f t="shared" si="17"/>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L568*orders!E568</f>
        <v>20.25</v>
      </c>
      <c r="N568" t="str">
        <f t="shared" si="16"/>
        <v>Arabica</v>
      </c>
      <c r="O568" t="str">
        <f t="shared" si="17"/>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L569*orders!E569</f>
        <v>164.90999999999997</v>
      </c>
      <c r="N569" t="str">
        <f t="shared" si="16"/>
        <v>Robusta</v>
      </c>
      <c r="O569" t="str">
        <f t="shared" si="17"/>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L570*orders!E570</f>
        <v>19.02</v>
      </c>
      <c r="N570" t="str">
        <f t="shared" si="16"/>
        <v>Liberica</v>
      </c>
      <c r="O570" t="str">
        <f t="shared" si="17"/>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L571*orders!E571</f>
        <v>137.31</v>
      </c>
      <c r="N571" t="str">
        <f t="shared" si="16"/>
        <v>Arabica</v>
      </c>
      <c r="O571" t="str">
        <f t="shared" si="17"/>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L572*orders!E572</f>
        <v>27</v>
      </c>
      <c r="N572" t="str">
        <f t="shared" si="16"/>
        <v>Arabica</v>
      </c>
      <c r="O572" t="str">
        <f t="shared" si="17"/>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L573*orders!E573</f>
        <v>35.64</v>
      </c>
      <c r="N573" t="str">
        <f t="shared" si="16"/>
        <v>Excelsa</v>
      </c>
      <c r="O573" t="str">
        <f t="shared" si="17"/>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L574*orders!E574</f>
        <v>5.97</v>
      </c>
      <c r="N574" t="str">
        <f t="shared" si="16"/>
        <v>Arabica</v>
      </c>
      <c r="O574" t="str">
        <f t="shared" si="17"/>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L575*orders!E575</f>
        <v>67.5</v>
      </c>
      <c r="N575" t="str">
        <f t="shared" si="16"/>
        <v>Arabica</v>
      </c>
      <c r="O575" t="str">
        <f t="shared" si="17"/>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L576*orders!E576</f>
        <v>21.509999999999998</v>
      </c>
      <c r="N576" t="str">
        <f t="shared" si="16"/>
        <v>Robusta</v>
      </c>
      <c r="O576" t="str">
        <f t="shared" si="17"/>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L577*orders!E577</f>
        <v>66.929999999999993</v>
      </c>
      <c r="N577" t="str">
        <f t="shared" si="16"/>
        <v>Liberica</v>
      </c>
      <c r="O577" t="str">
        <f t="shared" si="17"/>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L578*orders!E578</f>
        <v>17.91</v>
      </c>
      <c r="N578" t="str">
        <f t="shared" si="16"/>
        <v>Arabica</v>
      </c>
      <c r="O578" t="str">
        <f t="shared" si="17"/>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L579*orders!E579</f>
        <v>58.2</v>
      </c>
      <c r="N579" t="str">
        <f t="shared" ref="N579:N642" si="18">IF(I579="Rob","Robusta",IF(I579="Exc","Excelsa",IF(I579="Ara","Arabica",IF(I579="Lib","Liberica",""))))</f>
        <v>Liberica</v>
      </c>
      <c r="O579" t="str">
        <f t="shared" ref="O579:O642" si="1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L580*orders!E580</f>
        <v>13.365</v>
      </c>
      <c r="N580" t="str">
        <f t="shared" si="18"/>
        <v>Excelsa</v>
      </c>
      <c r="O580" t="str">
        <f t="shared" si="1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L581*orders!E581</f>
        <v>33.75</v>
      </c>
      <c r="N581" t="str">
        <f t="shared" si="18"/>
        <v>Arabica</v>
      </c>
      <c r="O581" t="str">
        <f t="shared" si="1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L582*orders!E582</f>
        <v>44.55</v>
      </c>
      <c r="N582" t="str">
        <f t="shared" si="18"/>
        <v>Excelsa</v>
      </c>
      <c r="O582" t="str">
        <f t="shared" si="1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L583*orders!E583</f>
        <v>44.55</v>
      </c>
      <c r="N583" t="str">
        <f t="shared" si="18"/>
        <v>Excelsa</v>
      </c>
      <c r="O583" t="str">
        <f t="shared" si="1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L584*orders!E584</f>
        <v>60.75</v>
      </c>
      <c r="N584" t="str">
        <f t="shared" si="18"/>
        <v>Excelsa</v>
      </c>
      <c r="O584" t="str">
        <f t="shared" si="1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L585*orders!E585</f>
        <v>3.5849999999999995</v>
      </c>
      <c r="N585" t="str">
        <f t="shared" si="18"/>
        <v>Robusta</v>
      </c>
      <c r="O585" t="str">
        <f t="shared" si="1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L586*orders!E586</f>
        <v>21.509999999999998</v>
      </c>
      <c r="N586" t="str">
        <f t="shared" si="18"/>
        <v>Robusta</v>
      </c>
      <c r="O586" t="str">
        <f t="shared" si="1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L587*orders!E587</f>
        <v>16.5</v>
      </c>
      <c r="N587" t="str">
        <f t="shared" si="18"/>
        <v>Excelsa</v>
      </c>
      <c r="O587" t="str">
        <f t="shared" si="1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L588*orders!E588</f>
        <v>82.454999999999984</v>
      </c>
      <c r="N588" t="str">
        <f t="shared" si="18"/>
        <v>Robusta</v>
      </c>
      <c r="O588" t="str">
        <f t="shared" si="1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L589*orders!E589</f>
        <v>7.77</v>
      </c>
      <c r="N589" t="str">
        <f t="shared" si="18"/>
        <v>Liberica</v>
      </c>
      <c r="O589" t="str">
        <f t="shared" si="1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L590*orders!E590</f>
        <v>11.94</v>
      </c>
      <c r="N590" t="str">
        <f t="shared" si="18"/>
        <v>Robusta</v>
      </c>
      <c r="O590" t="str">
        <f t="shared" si="1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L591*orders!E591</f>
        <v>204.92999999999995</v>
      </c>
      <c r="N591" t="str">
        <f t="shared" si="18"/>
        <v>Excelsa</v>
      </c>
      <c r="O591" t="str">
        <f t="shared" si="1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L592*orders!E592</f>
        <v>63.249999999999993</v>
      </c>
      <c r="N592" t="str">
        <f t="shared" si="18"/>
        <v>Excelsa</v>
      </c>
      <c r="O592" t="str">
        <f t="shared" si="1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L593*orders!E593</f>
        <v>8.0549999999999997</v>
      </c>
      <c r="N593" t="str">
        <f t="shared" si="18"/>
        <v>Robusta</v>
      </c>
      <c r="O593" t="str">
        <f t="shared" si="1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L594*orders!E594</f>
        <v>51.749999999999993</v>
      </c>
      <c r="N594" t="str">
        <f t="shared" si="18"/>
        <v>Arabica</v>
      </c>
      <c r="O594" t="str">
        <f t="shared" si="1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L595*orders!E595</f>
        <v>27.945</v>
      </c>
      <c r="N595" t="str">
        <f t="shared" si="18"/>
        <v>Excelsa</v>
      </c>
      <c r="O595" t="str">
        <f t="shared" si="1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L596*orders!E596</f>
        <v>59.569999999999993</v>
      </c>
      <c r="N596" t="str">
        <f t="shared" si="18"/>
        <v>Arabica</v>
      </c>
      <c r="O596" t="str">
        <f t="shared" si="1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L597*orders!E597</f>
        <v>14.85</v>
      </c>
      <c r="N597" t="str">
        <f t="shared" si="18"/>
        <v>Excelsa</v>
      </c>
      <c r="O597" t="str">
        <f t="shared" si="1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L598*orders!E598</f>
        <v>33.75</v>
      </c>
      <c r="N598" t="str">
        <f t="shared" si="18"/>
        <v>Arabica</v>
      </c>
      <c r="O598" t="str">
        <f t="shared" si="1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L599*orders!E599</f>
        <v>145.82</v>
      </c>
      <c r="N599" t="str">
        <f t="shared" si="18"/>
        <v>Liberica</v>
      </c>
      <c r="O599" t="str">
        <f t="shared" si="1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L600*orders!E600</f>
        <v>11.94</v>
      </c>
      <c r="N600" t="str">
        <f t="shared" si="18"/>
        <v>Robusta</v>
      </c>
      <c r="O600" t="str">
        <f t="shared" si="1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L601*orders!E601</f>
        <v>11.94</v>
      </c>
      <c r="N601" t="str">
        <f t="shared" si="18"/>
        <v>Arabica</v>
      </c>
      <c r="O601" t="str">
        <f t="shared" si="1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L602*orders!E602</f>
        <v>7.77</v>
      </c>
      <c r="N602" t="str">
        <f t="shared" si="18"/>
        <v>Liberica</v>
      </c>
      <c r="O602" t="str">
        <f t="shared" si="1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L603*orders!E603</f>
        <v>109.93999999999998</v>
      </c>
      <c r="N603" t="str">
        <f t="shared" si="18"/>
        <v>Robusta</v>
      </c>
      <c r="O603" t="str">
        <f t="shared" si="1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L604*orders!E604</f>
        <v>22.274999999999999</v>
      </c>
      <c r="N604" t="str">
        <f t="shared" si="18"/>
        <v>Excelsa</v>
      </c>
      <c r="O604" t="str">
        <f t="shared" si="1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L605*orders!E605</f>
        <v>8.9550000000000001</v>
      </c>
      <c r="N605" t="str">
        <f t="shared" si="18"/>
        <v>Robusta</v>
      </c>
      <c r="O605" t="str">
        <f t="shared" si="1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L606*orders!E606</f>
        <v>119.13999999999999</v>
      </c>
      <c r="N606" t="str">
        <f t="shared" si="18"/>
        <v>Liberica</v>
      </c>
      <c r="O606" t="str">
        <f t="shared" si="1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L607*orders!E607</f>
        <v>148.92499999999998</v>
      </c>
      <c r="N607" t="str">
        <f t="shared" si="18"/>
        <v>Arabica</v>
      </c>
      <c r="O607" t="str">
        <f t="shared" si="1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L608*orders!E608</f>
        <v>109.36499999999999</v>
      </c>
      <c r="N608" t="str">
        <f t="shared" si="18"/>
        <v>Liberica</v>
      </c>
      <c r="O608" t="str">
        <f t="shared" si="1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L609*orders!E609</f>
        <v>3.645</v>
      </c>
      <c r="N609" t="str">
        <f t="shared" si="18"/>
        <v>Excelsa</v>
      </c>
      <c r="O609" t="str">
        <f t="shared" si="1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L610*orders!E610</f>
        <v>55.89</v>
      </c>
      <c r="N610" t="str">
        <f t="shared" si="18"/>
        <v>Excelsa</v>
      </c>
      <c r="O610" t="str">
        <f t="shared" si="1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L611*orders!E611</f>
        <v>26.19</v>
      </c>
      <c r="N611" t="str">
        <f t="shared" si="18"/>
        <v>Liberica</v>
      </c>
      <c r="O611" t="str">
        <f t="shared" si="1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L612*orders!E612</f>
        <v>39.799999999999997</v>
      </c>
      <c r="N612" t="str">
        <f t="shared" si="18"/>
        <v>Robusta</v>
      </c>
      <c r="O612" t="str">
        <f t="shared" si="1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L613*orders!E613</f>
        <v>68.309999999999988</v>
      </c>
      <c r="N613" t="str">
        <f t="shared" si="18"/>
        <v>Excelsa</v>
      </c>
      <c r="O613" t="str">
        <f t="shared" si="1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L614*orders!E614</f>
        <v>13.5</v>
      </c>
      <c r="N614" t="str">
        <f t="shared" si="18"/>
        <v>Arabica</v>
      </c>
      <c r="O614" t="str">
        <f t="shared" si="1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L615*orders!E615</f>
        <v>5.97</v>
      </c>
      <c r="N615" t="str">
        <f t="shared" si="18"/>
        <v>Robusta</v>
      </c>
      <c r="O615" t="str">
        <f t="shared" si="1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L616*orders!E616</f>
        <v>29.849999999999998</v>
      </c>
      <c r="N616" t="str">
        <f t="shared" si="18"/>
        <v>Robusta</v>
      </c>
      <c r="O616" t="str">
        <f t="shared" si="1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L617*orders!E617</f>
        <v>72.91</v>
      </c>
      <c r="N617" t="str">
        <f t="shared" si="18"/>
        <v>Liberica</v>
      </c>
      <c r="O617" t="str">
        <f t="shared" si="1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L618*orders!E618</f>
        <v>126.49999999999999</v>
      </c>
      <c r="N618" t="str">
        <f t="shared" si="18"/>
        <v>Excelsa</v>
      </c>
      <c r="O618" t="str">
        <f t="shared" si="1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L619*orders!E619</f>
        <v>33.464999999999996</v>
      </c>
      <c r="N619" t="str">
        <f t="shared" si="18"/>
        <v>Liberica</v>
      </c>
      <c r="O619" t="str">
        <f t="shared" si="1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L620*orders!E620</f>
        <v>72.900000000000006</v>
      </c>
      <c r="N620" t="str">
        <f t="shared" si="18"/>
        <v>Excelsa</v>
      </c>
      <c r="O620" t="str">
        <f t="shared" si="1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L621*orders!E621</f>
        <v>15.54</v>
      </c>
      <c r="N621" t="str">
        <f t="shared" si="18"/>
        <v>Liberica</v>
      </c>
      <c r="O621" t="str">
        <f t="shared" si="1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L622*orders!E622</f>
        <v>20.25</v>
      </c>
      <c r="N622" t="str">
        <f t="shared" si="18"/>
        <v>Arabica</v>
      </c>
      <c r="O622" t="str">
        <f t="shared" si="1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L623*orders!E623</f>
        <v>77.699999999999989</v>
      </c>
      <c r="N623" t="str">
        <f t="shared" si="18"/>
        <v>Arabica</v>
      </c>
      <c r="O623" t="str">
        <f t="shared" si="1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L624*orders!E624</f>
        <v>133.85999999999999</v>
      </c>
      <c r="N624" t="str">
        <f t="shared" si="18"/>
        <v>Liberica</v>
      </c>
      <c r="O624" t="str">
        <f t="shared" si="1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L625*orders!E625</f>
        <v>12.15</v>
      </c>
      <c r="N625" t="str">
        <f t="shared" si="18"/>
        <v>Excelsa</v>
      </c>
      <c r="O625" t="str">
        <f t="shared" si="1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L626*orders!E626</f>
        <v>63.249999999999993</v>
      </c>
      <c r="N626" t="str">
        <f t="shared" si="18"/>
        <v>Excelsa</v>
      </c>
      <c r="O626" t="str">
        <f t="shared" si="1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L627*orders!E627</f>
        <v>35.849999999999994</v>
      </c>
      <c r="N627" t="str">
        <f t="shared" si="18"/>
        <v>Robusta</v>
      </c>
      <c r="O627" t="str">
        <f t="shared" si="1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L628*orders!E628</f>
        <v>77.624999999999986</v>
      </c>
      <c r="N628" t="str">
        <f t="shared" si="18"/>
        <v>Arabica</v>
      </c>
      <c r="O628" t="str">
        <f t="shared" si="1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L629*orders!E629</f>
        <v>63.249999999999993</v>
      </c>
      <c r="N629" t="str">
        <f t="shared" si="18"/>
        <v>Excelsa</v>
      </c>
      <c r="O629" t="str">
        <f t="shared" si="1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L630*orders!E630</f>
        <v>26.73</v>
      </c>
      <c r="N630" t="str">
        <f t="shared" si="18"/>
        <v>Excelsa</v>
      </c>
      <c r="O630" t="str">
        <f t="shared" si="1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L631*orders!E631</f>
        <v>31.08</v>
      </c>
      <c r="N631" t="str">
        <f t="shared" si="18"/>
        <v>Liberica</v>
      </c>
      <c r="O631" t="str">
        <f t="shared" si="1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L632*orders!E632</f>
        <v>2.9849999999999999</v>
      </c>
      <c r="N632" t="str">
        <f t="shared" si="18"/>
        <v>Arabica</v>
      </c>
      <c r="O632" t="str">
        <f t="shared" si="1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L633*orders!E633</f>
        <v>102.92499999999998</v>
      </c>
      <c r="N633" t="str">
        <f t="shared" si="18"/>
        <v>Robusta</v>
      </c>
      <c r="O633" t="str">
        <f t="shared" si="1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L634*orders!E634</f>
        <v>35.64</v>
      </c>
      <c r="N634" t="str">
        <f t="shared" si="18"/>
        <v>Excelsa</v>
      </c>
      <c r="O634" t="str">
        <f t="shared" si="1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L635*orders!E635</f>
        <v>47.8</v>
      </c>
      <c r="N635" t="str">
        <f t="shared" si="18"/>
        <v>Robusta</v>
      </c>
      <c r="O635" t="str">
        <f t="shared" si="1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L636*orders!E636</f>
        <v>43.650000000000006</v>
      </c>
      <c r="N636" t="str">
        <f t="shared" si="18"/>
        <v>Liberica</v>
      </c>
      <c r="O636" t="str">
        <f t="shared" si="1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L637*orders!E637</f>
        <v>35.64</v>
      </c>
      <c r="N637" t="str">
        <f t="shared" si="18"/>
        <v>Excelsa</v>
      </c>
      <c r="O637" t="str">
        <f t="shared" si="1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L638*orders!E638</f>
        <v>95.1</v>
      </c>
      <c r="N638" t="str">
        <f t="shared" si="18"/>
        <v>Liberica</v>
      </c>
      <c r="O638" t="str">
        <f t="shared" si="1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L639*orders!E639</f>
        <v>31.624999999999996</v>
      </c>
      <c r="N639" t="str">
        <f t="shared" si="18"/>
        <v>Excelsa</v>
      </c>
      <c r="O639" t="str">
        <f t="shared" si="1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L640*orders!E640</f>
        <v>77.624999999999986</v>
      </c>
      <c r="N640" t="str">
        <f t="shared" si="18"/>
        <v>Arabica</v>
      </c>
      <c r="O640" t="str">
        <f t="shared" si="1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L641*orders!E641</f>
        <v>3.8849999999999998</v>
      </c>
      <c r="N641" t="str">
        <f t="shared" si="18"/>
        <v>Liberica</v>
      </c>
      <c r="O641" t="str">
        <f t="shared" si="1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L642*orders!E642</f>
        <v>137.42499999999998</v>
      </c>
      <c r="N642" t="str">
        <f t="shared" si="18"/>
        <v>Robusta</v>
      </c>
      <c r="O642" t="str">
        <f t="shared" si="1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L643*orders!E643</f>
        <v>35.849999999999994</v>
      </c>
      <c r="N643" t="str">
        <f t="shared" ref="N643:N706" si="20">IF(I643="Rob","Robusta",IF(I643="Exc","Excelsa",IF(I643="Ara","Arabica",IF(I643="Lib","Liberica",""))))</f>
        <v>Robusta</v>
      </c>
      <c r="O643" t="str">
        <f t="shared" ref="O643:O706" si="21">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L644*orders!E644</f>
        <v>8.25</v>
      </c>
      <c r="N644" t="str">
        <f t="shared" si="20"/>
        <v>Excelsa</v>
      </c>
      <c r="O644" t="str">
        <f t="shared" si="21"/>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L645*orders!E645</f>
        <v>102.46499999999997</v>
      </c>
      <c r="N645" t="str">
        <f t="shared" si="20"/>
        <v>Excelsa</v>
      </c>
      <c r="O645" t="str">
        <f t="shared" si="21"/>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L646*orders!E646</f>
        <v>41.169999999999995</v>
      </c>
      <c r="N646" t="str">
        <f t="shared" si="20"/>
        <v>Robusta</v>
      </c>
      <c r="O646" t="str">
        <f t="shared" si="21"/>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L647*orders!E647</f>
        <v>68.655000000000001</v>
      </c>
      <c r="N647" t="str">
        <f t="shared" si="20"/>
        <v>Arabica</v>
      </c>
      <c r="O647" t="str">
        <f t="shared" si="21"/>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L648*orders!E648</f>
        <v>9.9499999999999993</v>
      </c>
      <c r="N648" t="str">
        <f t="shared" si="20"/>
        <v>Arabica</v>
      </c>
      <c r="O648" t="str">
        <f t="shared" si="21"/>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L649*orders!E649</f>
        <v>28.53</v>
      </c>
      <c r="N649" t="str">
        <f t="shared" si="20"/>
        <v>Liberica</v>
      </c>
      <c r="O649" t="str">
        <f t="shared" si="21"/>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L650*orders!E650</f>
        <v>16.11</v>
      </c>
      <c r="N650" t="str">
        <f t="shared" si="20"/>
        <v>Robusta</v>
      </c>
      <c r="O650" t="str">
        <f t="shared" si="21"/>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L651*orders!E651</f>
        <v>95.1</v>
      </c>
      <c r="N651" t="str">
        <f t="shared" si="20"/>
        <v>Liberica</v>
      </c>
      <c r="O651" t="str">
        <f t="shared" si="21"/>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L652*orders!E652</f>
        <v>5.3699999999999992</v>
      </c>
      <c r="N652" t="str">
        <f t="shared" si="20"/>
        <v>Robusta</v>
      </c>
      <c r="O652" t="str">
        <f t="shared" si="21"/>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L653*orders!E653</f>
        <v>47.8</v>
      </c>
      <c r="N653" t="str">
        <f t="shared" si="20"/>
        <v>Robusta</v>
      </c>
      <c r="O653" t="str">
        <f t="shared" si="21"/>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L654*orders!E654</f>
        <v>63.4</v>
      </c>
      <c r="N654" t="str">
        <f t="shared" si="20"/>
        <v>Liberica</v>
      </c>
      <c r="O654" t="str">
        <f t="shared" si="21"/>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L655*orders!E655</f>
        <v>103.49999999999999</v>
      </c>
      <c r="N655" t="str">
        <f t="shared" si="20"/>
        <v>Arabica</v>
      </c>
      <c r="O655" t="str">
        <f t="shared" si="21"/>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L656*orders!E656</f>
        <v>68.655000000000001</v>
      </c>
      <c r="N656" t="str">
        <f t="shared" si="20"/>
        <v>Arabica</v>
      </c>
      <c r="O656" t="str">
        <f t="shared" si="21"/>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L657*orders!E657</f>
        <v>45.769999999999996</v>
      </c>
      <c r="N657" t="str">
        <f t="shared" si="20"/>
        <v>Robusta</v>
      </c>
      <c r="O657" t="str">
        <f t="shared" si="21"/>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L658*orders!E658</f>
        <v>51.8</v>
      </c>
      <c r="N658" t="str">
        <f t="shared" si="20"/>
        <v>Liberica</v>
      </c>
      <c r="O658" t="str">
        <f t="shared" si="21"/>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L659*orders!E659</f>
        <v>13.5</v>
      </c>
      <c r="N659" t="str">
        <f t="shared" si="20"/>
        <v>Arabica</v>
      </c>
      <c r="O659" t="str">
        <f t="shared" si="21"/>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L660*orders!E660</f>
        <v>24.75</v>
      </c>
      <c r="N660" t="str">
        <f t="shared" si="20"/>
        <v>Excelsa</v>
      </c>
      <c r="O660" t="str">
        <f t="shared" si="21"/>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L661*orders!E661</f>
        <v>45.769999999999996</v>
      </c>
      <c r="N661" t="str">
        <f t="shared" si="20"/>
        <v>Arabica</v>
      </c>
      <c r="O661" t="str">
        <f t="shared" si="21"/>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L662*orders!E662</f>
        <v>53.46</v>
      </c>
      <c r="N662" t="str">
        <f t="shared" si="20"/>
        <v>Excelsa</v>
      </c>
      <c r="O662" t="str">
        <f t="shared" si="21"/>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L663*orders!E663</f>
        <v>20.25</v>
      </c>
      <c r="N663" t="str">
        <f t="shared" si="20"/>
        <v>Arabica</v>
      </c>
      <c r="O663" t="str">
        <f t="shared" si="21"/>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L664*orders!E664</f>
        <v>148.92499999999998</v>
      </c>
      <c r="N664" t="str">
        <f t="shared" si="20"/>
        <v>Liberica</v>
      </c>
      <c r="O664" t="str">
        <f t="shared" si="21"/>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L665*orders!E665</f>
        <v>67.5</v>
      </c>
      <c r="N665" t="str">
        <f t="shared" si="20"/>
        <v>Arabica</v>
      </c>
      <c r="O665" t="str">
        <f t="shared" si="21"/>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L666*orders!E666</f>
        <v>72.900000000000006</v>
      </c>
      <c r="N666" t="str">
        <f t="shared" si="20"/>
        <v>Excelsa</v>
      </c>
      <c r="O666" t="str">
        <f t="shared" si="21"/>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L667*orders!E667</f>
        <v>7.77</v>
      </c>
      <c r="N667" t="str">
        <f t="shared" si="20"/>
        <v>Liberica</v>
      </c>
      <c r="O667" t="str">
        <f t="shared" si="21"/>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L668*orders!E668</f>
        <v>91.539999999999992</v>
      </c>
      <c r="N668" t="str">
        <f t="shared" si="20"/>
        <v>Arabica</v>
      </c>
      <c r="O668" t="str">
        <f t="shared" si="21"/>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L669*orders!E669</f>
        <v>59.699999999999996</v>
      </c>
      <c r="N669" t="str">
        <f t="shared" si="20"/>
        <v>Arabica</v>
      </c>
      <c r="O669" t="str">
        <f t="shared" si="21"/>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L670*orders!E670</f>
        <v>137.42499999999998</v>
      </c>
      <c r="N670" t="str">
        <f t="shared" si="20"/>
        <v>Robusta</v>
      </c>
      <c r="O670" t="str">
        <f t="shared" si="21"/>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L671*orders!E671</f>
        <v>66.929999999999993</v>
      </c>
      <c r="N671" t="str">
        <f t="shared" si="20"/>
        <v>Liberica</v>
      </c>
      <c r="O671" t="str">
        <f t="shared" si="21"/>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L672*orders!E672</f>
        <v>13.095000000000001</v>
      </c>
      <c r="N672" t="str">
        <f t="shared" si="20"/>
        <v>Liberica</v>
      </c>
      <c r="O672" t="str">
        <f t="shared" si="21"/>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L673*orders!E673</f>
        <v>59.75</v>
      </c>
      <c r="N673" t="str">
        <f t="shared" si="20"/>
        <v>Robusta</v>
      </c>
      <c r="O673" t="str">
        <f t="shared" si="21"/>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L674*orders!E674</f>
        <v>43.650000000000006</v>
      </c>
      <c r="N674" t="str">
        <f t="shared" si="20"/>
        <v>Liberica</v>
      </c>
      <c r="O674" t="str">
        <f t="shared" si="21"/>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L675*orders!E675</f>
        <v>82.5</v>
      </c>
      <c r="N675" t="str">
        <f t="shared" si="20"/>
        <v>Excelsa</v>
      </c>
      <c r="O675" t="str">
        <f t="shared" si="21"/>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L676*orders!E676</f>
        <v>178.70999999999998</v>
      </c>
      <c r="N676" t="str">
        <f t="shared" si="20"/>
        <v>Arabica</v>
      </c>
      <c r="O676" t="str">
        <f t="shared" si="21"/>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L677*orders!E677</f>
        <v>119.13999999999999</v>
      </c>
      <c r="N677" t="str">
        <f t="shared" si="20"/>
        <v>Liberica</v>
      </c>
      <c r="O677" t="str">
        <f t="shared" si="21"/>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L678*orders!E678</f>
        <v>47.55</v>
      </c>
      <c r="N678" t="str">
        <f t="shared" si="20"/>
        <v>Liberica</v>
      </c>
      <c r="O678" t="str">
        <f t="shared" si="21"/>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L679*orders!E679</f>
        <v>43.650000000000006</v>
      </c>
      <c r="N679" t="str">
        <f t="shared" si="20"/>
        <v>Liberica</v>
      </c>
      <c r="O679" t="str">
        <f t="shared" si="21"/>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L680*orders!E680</f>
        <v>178.70999999999998</v>
      </c>
      <c r="N680" t="str">
        <f t="shared" si="20"/>
        <v>Arabica</v>
      </c>
      <c r="O680" t="str">
        <f t="shared" si="21"/>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L681*orders!E681</f>
        <v>27.484999999999996</v>
      </c>
      <c r="N681" t="str">
        <f t="shared" si="20"/>
        <v>Robusta</v>
      </c>
      <c r="O681" t="str">
        <f t="shared" si="21"/>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L682*orders!E682</f>
        <v>56.25</v>
      </c>
      <c r="N682" t="str">
        <f t="shared" si="20"/>
        <v>Arabica</v>
      </c>
      <c r="O682" t="str">
        <f t="shared" si="21"/>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L683*orders!E683</f>
        <v>9.51</v>
      </c>
      <c r="N683" t="str">
        <f t="shared" si="20"/>
        <v>Liberica</v>
      </c>
      <c r="O683" t="str">
        <f t="shared" si="21"/>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L684*orders!E684</f>
        <v>8.25</v>
      </c>
      <c r="N684" t="str">
        <f t="shared" si="20"/>
        <v>Excelsa</v>
      </c>
      <c r="O684" t="str">
        <f t="shared" si="21"/>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L685*orders!E685</f>
        <v>46.62</v>
      </c>
      <c r="N685" t="str">
        <f t="shared" si="20"/>
        <v>Liberica</v>
      </c>
      <c r="O685" t="str">
        <f t="shared" si="21"/>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L686*orders!E686</f>
        <v>71.699999999999989</v>
      </c>
      <c r="N686" t="str">
        <f t="shared" si="20"/>
        <v>Robusta</v>
      </c>
      <c r="O686" t="str">
        <f t="shared" si="21"/>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L687*orders!E687</f>
        <v>72.91</v>
      </c>
      <c r="N687" t="str">
        <f t="shared" si="20"/>
        <v>Liberica</v>
      </c>
      <c r="O687" t="str">
        <f t="shared" si="21"/>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L688*orders!E688</f>
        <v>8.0549999999999997</v>
      </c>
      <c r="N688" t="str">
        <f t="shared" si="20"/>
        <v>Robusta</v>
      </c>
      <c r="O688" t="str">
        <f t="shared" si="21"/>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L689*orders!E689</f>
        <v>16.5</v>
      </c>
      <c r="N689" t="str">
        <f t="shared" si="20"/>
        <v>Excelsa</v>
      </c>
      <c r="O689" t="str">
        <f t="shared" si="21"/>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L690*orders!E690</f>
        <v>64.75</v>
      </c>
      <c r="N690" t="str">
        <f t="shared" si="20"/>
        <v>Arabica</v>
      </c>
      <c r="O690" t="str">
        <f t="shared" si="21"/>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L691*orders!E691</f>
        <v>33.75</v>
      </c>
      <c r="N691" t="str">
        <f t="shared" si="20"/>
        <v>Arabica</v>
      </c>
      <c r="O691" t="str">
        <f t="shared" si="21"/>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L692*orders!E692</f>
        <v>178.70999999999998</v>
      </c>
      <c r="N692" t="str">
        <f t="shared" si="20"/>
        <v>Liberica</v>
      </c>
      <c r="O692" t="str">
        <f t="shared" si="21"/>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L693*orders!E693</f>
        <v>22.5</v>
      </c>
      <c r="N693" t="str">
        <f t="shared" si="20"/>
        <v>Arabica</v>
      </c>
      <c r="O693" t="str">
        <f t="shared" si="21"/>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L694*orders!E694</f>
        <v>12.95</v>
      </c>
      <c r="N694" t="str">
        <f t="shared" si="20"/>
        <v>Liberica</v>
      </c>
      <c r="O694" t="str">
        <f t="shared" si="21"/>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L695*orders!E695</f>
        <v>51.749999999999993</v>
      </c>
      <c r="N695" t="str">
        <f t="shared" si="20"/>
        <v>Arabica</v>
      </c>
      <c r="O695" t="str">
        <f t="shared" si="21"/>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L696*orders!E696</f>
        <v>36.450000000000003</v>
      </c>
      <c r="N696" t="str">
        <f t="shared" si="20"/>
        <v>Excelsa</v>
      </c>
      <c r="O696" t="str">
        <f t="shared" si="21"/>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L697*orders!E697</f>
        <v>182.27499999999998</v>
      </c>
      <c r="N697" t="str">
        <f t="shared" si="20"/>
        <v>Liberica</v>
      </c>
      <c r="O697" t="str">
        <f t="shared" si="21"/>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L698*orders!E698</f>
        <v>31.08</v>
      </c>
      <c r="N698" t="str">
        <f t="shared" si="20"/>
        <v>Liberica</v>
      </c>
      <c r="O698" t="str">
        <f t="shared" si="21"/>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L699*orders!E699</f>
        <v>20.25</v>
      </c>
      <c r="N699" t="str">
        <f t="shared" si="20"/>
        <v>Arabica</v>
      </c>
      <c r="O699" t="str">
        <f t="shared" si="21"/>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L700*orders!E700</f>
        <v>25.9</v>
      </c>
      <c r="N700" t="str">
        <f t="shared" si="20"/>
        <v>Liberica</v>
      </c>
      <c r="O700" t="str">
        <f t="shared" si="21"/>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L701*orders!E701</f>
        <v>23.88</v>
      </c>
      <c r="N701" t="str">
        <f t="shared" si="20"/>
        <v>Arabica</v>
      </c>
      <c r="O701" t="str">
        <f t="shared" si="21"/>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L702*orders!E702</f>
        <v>19.02</v>
      </c>
      <c r="N702" t="str">
        <f t="shared" si="20"/>
        <v>Liberica</v>
      </c>
      <c r="O702" t="str">
        <f t="shared" si="21"/>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L703*orders!E703</f>
        <v>29.849999999999998</v>
      </c>
      <c r="N703" t="str">
        <f t="shared" si="20"/>
        <v>Arabica</v>
      </c>
      <c r="O703" t="str">
        <f t="shared" si="21"/>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L704*orders!E704</f>
        <v>7.77</v>
      </c>
      <c r="N704" t="str">
        <f t="shared" si="20"/>
        <v>Arabica</v>
      </c>
      <c r="O704" t="str">
        <f t="shared" si="21"/>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L705*orders!E705</f>
        <v>119.13999999999999</v>
      </c>
      <c r="N705" t="str">
        <f t="shared" si="20"/>
        <v>Liberica</v>
      </c>
      <c r="O705" t="str">
        <f t="shared" si="21"/>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L706*orders!E706</f>
        <v>21.87</v>
      </c>
      <c r="N706" t="str">
        <f t="shared" si="20"/>
        <v>Excelsa</v>
      </c>
      <c r="O706" t="str">
        <f t="shared" si="21"/>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L707*orders!E707</f>
        <v>17.82</v>
      </c>
      <c r="N707" t="str">
        <f t="shared" ref="N707:N770" si="22">IF(I707="Rob","Robusta",IF(I707="Exc","Excelsa",IF(I707="Ara","Arabica",IF(I707="Lib","Liberica",""))))</f>
        <v>Excelsa</v>
      </c>
      <c r="O707" t="str">
        <f t="shared" ref="O707:O770" si="23">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L708*orders!E708</f>
        <v>12.375</v>
      </c>
      <c r="N708" t="str">
        <f t="shared" si="22"/>
        <v>Excelsa</v>
      </c>
      <c r="O708" t="str">
        <f t="shared" si="23"/>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L709*orders!E709</f>
        <v>25.9</v>
      </c>
      <c r="N709" t="str">
        <f t="shared" si="22"/>
        <v>Liberica</v>
      </c>
      <c r="O709" t="str">
        <f t="shared" si="23"/>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L710*orders!E710</f>
        <v>13.5</v>
      </c>
      <c r="N710" t="str">
        <f t="shared" si="22"/>
        <v>Arabica</v>
      </c>
      <c r="O710" t="str">
        <f t="shared" si="23"/>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L711*orders!E711</f>
        <v>17.82</v>
      </c>
      <c r="N711" t="str">
        <f t="shared" si="22"/>
        <v>Excelsa</v>
      </c>
      <c r="O711" t="str">
        <f t="shared" si="23"/>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L712*orders!E712</f>
        <v>24.75</v>
      </c>
      <c r="N712" t="str">
        <f t="shared" si="22"/>
        <v>Excelsa</v>
      </c>
      <c r="O712" t="str">
        <f t="shared" si="23"/>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L713*orders!E713</f>
        <v>17.91</v>
      </c>
      <c r="N713" t="str">
        <f t="shared" si="22"/>
        <v>Robusta</v>
      </c>
      <c r="O713" t="str">
        <f t="shared" si="23"/>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L714*orders!E714</f>
        <v>16.5</v>
      </c>
      <c r="N714" t="str">
        <f t="shared" si="22"/>
        <v>Excelsa</v>
      </c>
      <c r="O714" t="str">
        <f t="shared" si="23"/>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L715*orders!E715</f>
        <v>2.9849999999999999</v>
      </c>
      <c r="N715" t="str">
        <f t="shared" si="22"/>
        <v>Robusta</v>
      </c>
      <c r="O715" t="str">
        <f t="shared" si="23"/>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L716*orders!E716</f>
        <v>14.58</v>
      </c>
      <c r="N716" t="str">
        <f t="shared" si="22"/>
        <v>Excelsa</v>
      </c>
      <c r="O716" t="str">
        <f t="shared" si="23"/>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L717*orders!E717</f>
        <v>89.1</v>
      </c>
      <c r="N717" t="str">
        <f t="shared" si="22"/>
        <v>Excelsa</v>
      </c>
      <c r="O717" t="str">
        <f t="shared" si="23"/>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L718*orders!E718</f>
        <v>35.849999999999994</v>
      </c>
      <c r="N718" t="str">
        <f t="shared" si="22"/>
        <v>Robusta</v>
      </c>
      <c r="O718" t="str">
        <f t="shared" si="23"/>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L719*orders!E719</f>
        <v>68.655000000000001</v>
      </c>
      <c r="N719" t="str">
        <f t="shared" si="22"/>
        <v>Arabica</v>
      </c>
      <c r="O719" t="str">
        <f t="shared" si="23"/>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L720*orders!E720</f>
        <v>38.849999999999994</v>
      </c>
      <c r="N720" t="str">
        <f t="shared" si="22"/>
        <v>Liberica</v>
      </c>
      <c r="O720" t="str">
        <f t="shared" si="23"/>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L721*orders!E721</f>
        <v>79.25</v>
      </c>
      <c r="N721" t="str">
        <f t="shared" si="22"/>
        <v>Liberica</v>
      </c>
      <c r="O721" t="str">
        <f t="shared" si="23"/>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L722*orders!E722</f>
        <v>36.450000000000003</v>
      </c>
      <c r="N722" t="str">
        <f t="shared" si="22"/>
        <v>Excelsa</v>
      </c>
      <c r="O722" t="str">
        <f t="shared" si="23"/>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L723*orders!E723</f>
        <v>8.9550000000000001</v>
      </c>
      <c r="N723" t="str">
        <f t="shared" si="22"/>
        <v>Robusta</v>
      </c>
      <c r="O723" t="str">
        <f t="shared" si="23"/>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L724*orders!E724</f>
        <v>24.3</v>
      </c>
      <c r="N724" t="str">
        <f t="shared" si="22"/>
        <v>Excelsa</v>
      </c>
      <c r="O724" t="str">
        <f t="shared" si="23"/>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L725*orders!E725</f>
        <v>63.249999999999993</v>
      </c>
      <c r="N725" t="str">
        <f t="shared" si="22"/>
        <v>Excelsa</v>
      </c>
      <c r="O725" t="str">
        <f t="shared" si="23"/>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L726*orders!E726</f>
        <v>6.75</v>
      </c>
      <c r="N726" t="str">
        <f t="shared" si="22"/>
        <v>Arabica</v>
      </c>
      <c r="O726" t="str">
        <f t="shared" si="23"/>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L727*orders!E727</f>
        <v>23.31</v>
      </c>
      <c r="N727" t="str">
        <f t="shared" si="22"/>
        <v>Arabica</v>
      </c>
      <c r="O727" t="str">
        <f t="shared" si="23"/>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L728*orders!E728</f>
        <v>145.82</v>
      </c>
      <c r="N728" t="str">
        <f t="shared" si="22"/>
        <v>Liberica</v>
      </c>
      <c r="O728" t="str">
        <f t="shared" si="23"/>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L729*orders!E729</f>
        <v>29.849999999999998</v>
      </c>
      <c r="N729" t="str">
        <f t="shared" si="22"/>
        <v>Robusta</v>
      </c>
      <c r="O729" t="str">
        <f t="shared" si="23"/>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L730*orders!E730</f>
        <v>21.87</v>
      </c>
      <c r="N730" t="str">
        <f t="shared" si="22"/>
        <v>Excelsa</v>
      </c>
      <c r="O730" t="str">
        <f t="shared" si="23"/>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L731*orders!E731</f>
        <v>4.3650000000000002</v>
      </c>
      <c r="N731" t="str">
        <f t="shared" si="22"/>
        <v>Liberica</v>
      </c>
      <c r="O731" t="str">
        <f t="shared" si="23"/>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L732*orders!E732</f>
        <v>36.454999999999998</v>
      </c>
      <c r="N732" t="str">
        <f t="shared" si="22"/>
        <v>Liberica</v>
      </c>
      <c r="O732" t="str">
        <f t="shared" si="23"/>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L733*orders!E733</f>
        <v>15.54</v>
      </c>
      <c r="N733" t="str">
        <f t="shared" si="22"/>
        <v>Liberica</v>
      </c>
      <c r="O733" t="str">
        <f t="shared" si="23"/>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L734*orders!E734</f>
        <v>8.91</v>
      </c>
      <c r="N734" t="str">
        <f t="shared" si="22"/>
        <v>Excelsa</v>
      </c>
      <c r="O734" t="str">
        <f t="shared" si="23"/>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L735*orders!E735</f>
        <v>100.39499999999998</v>
      </c>
      <c r="N735" t="str">
        <f t="shared" si="22"/>
        <v>Liberica</v>
      </c>
      <c r="O735" t="str">
        <f t="shared" si="23"/>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L736*orders!E736</f>
        <v>13.424999999999997</v>
      </c>
      <c r="N736" t="str">
        <f t="shared" si="22"/>
        <v>Robusta</v>
      </c>
      <c r="O736" t="str">
        <f t="shared" si="23"/>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L737*orders!E737</f>
        <v>21.87</v>
      </c>
      <c r="N737" t="str">
        <f t="shared" si="22"/>
        <v>Excelsa</v>
      </c>
      <c r="O737" t="str">
        <f t="shared" si="23"/>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L738*orders!E738</f>
        <v>25.9</v>
      </c>
      <c r="N738" t="str">
        <f t="shared" si="22"/>
        <v>Liberica</v>
      </c>
      <c r="O738" t="str">
        <f t="shared" si="23"/>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L739*orders!E739</f>
        <v>56.25</v>
      </c>
      <c r="N739" t="str">
        <f t="shared" si="22"/>
        <v>Arabica</v>
      </c>
      <c r="O739" t="str">
        <f t="shared" si="23"/>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L740*orders!E740</f>
        <v>10.754999999999999</v>
      </c>
      <c r="N740" t="str">
        <f t="shared" si="22"/>
        <v>Robusta</v>
      </c>
      <c r="O740" t="str">
        <f t="shared" si="23"/>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L741*orders!E741</f>
        <v>18.225000000000001</v>
      </c>
      <c r="N741" t="str">
        <f t="shared" si="22"/>
        <v>Excelsa</v>
      </c>
      <c r="O741" t="str">
        <f t="shared" si="23"/>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L742*orders!E742</f>
        <v>28.679999999999996</v>
      </c>
      <c r="N742" t="str">
        <f t="shared" si="22"/>
        <v>Robusta</v>
      </c>
      <c r="O742" t="str">
        <f t="shared" si="23"/>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L743*orders!E743</f>
        <v>8.73</v>
      </c>
      <c r="N743" t="str">
        <f t="shared" si="22"/>
        <v>Liberica</v>
      </c>
      <c r="O743" t="str">
        <f t="shared" si="23"/>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L744*orders!E744</f>
        <v>58.2</v>
      </c>
      <c r="N744" t="str">
        <f t="shared" si="22"/>
        <v>Liberica</v>
      </c>
      <c r="O744" t="str">
        <f t="shared" si="23"/>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L745*orders!E745</f>
        <v>17.91</v>
      </c>
      <c r="N745" t="str">
        <f t="shared" si="22"/>
        <v>Arabica</v>
      </c>
      <c r="O745" t="str">
        <f t="shared" si="23"/>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L746*orders!E746</f>
        <v>17.91</v>
      </c>
      <c r="N746" t="str">
        <f t="shared" si="22"/>
        <v>Robusta</v>
      </c>
      <c r="O746" t="str">
        <f t="shared" si="23"/>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L747*orders!E747</f>
        <v>14.58</v>
      </c>
      <c r="N747" t="str">
        <f t="shared" si="22"/>
        <v>Excelsa</v>
      </c>
      <c r="O747" t="str">
        <f t="shared" si="23"/>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L748*orders!E748</f>
        <v>33.75</v>
      </c>
      <c r="N748" t="str">
        <f t="shared" si="22"/>
        <v>Arabica</v>
      </c>
      <c r="O748" t="str">
        <f t="shared" si="23"/>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L749*orders!E749</f>
        <v>34.92</v>
      </c>
      <c r="N749" t="str">
        <f t="shared" si="22"/>
        <v>Liberica</v>
      </c>
      <c r="O749" t="str">
        <f t="shared" si="23"/>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L750*orders!E750</f>
        <v>14.58</v>
      </c>
      <c r="N750" t="str">
        <f t="shared" si="22"/>
        <v>Excelsa</v>
      </c>
      <c r="O750" t="str">
        <f t="shared" si="23"/>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L751*orders!E751</f>
        <v>5.3699999999999992</v>
      </c>
      <c r="N751" t="str">
        <f t="shared" si="22"/>
        <v>Robusta</v>
      </c>
      <c r="O751" t="str">
        <f t="shared" si="23"/>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L752*orders!E752</f>
        <v>5.97</v>
      </c>
      <c r="N752" t="str">
        <f t="shared" si="22"/>
        <v>Robusta</v>
      </c>
      <c r="O752" t="str">
        <f t="shared" si="23"/>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L753*orders!E753</f>
        <v>19.02</v>
      </c>
      <c r="N753" t="str">
        <f t="shared" si="22"/>
        <v>Liberica</v>
      </c>
      <c r="O753" t="str">
        <f t="shared" si="23"/>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L754*orders!E754</f>
        <v>27.5</v>
      </c>
      <c r="N754" t="str">
        <f t="shared" si="22"/>
        <v>Excelsa</v>
      </c>
      <c r="O754" t="str">
        <f t="shared" si="23"/>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L755*orders!E755</f>
        <v>29.849999999999998</v>
      </c>
      <c r="N755" t="str">
        <f t="shared" si="22"/>
        <v>Arabica</v>
      </c>
      <c r="O755" t="str">
        <f t="shared" si="23"/>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L756*orders!E756</f>
        <v>17.91</v>
      </c>
      <c r="N756" t="str">
        <f t="shared" si="22"/>
        <v>Arabica</v>
      </c>
      <c r="O756" t="str">
        <f t="shared" si="23"/>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L757*orders!E757</f>
        <v>28.53</v>
      </c>
      <c r="N757" t="str">
        <f t="shared" si="22"/>
        <v>Liberica</v>
      </c>
      <c r="O757" t="str">
        <f t="shared" si="23"/>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L758*orders!E758</f>
        <v>35.799999999999997</v>
      </c>
      <c r="N758" t="str">
        <f t="shared" si="22"/>
        <v>Robusta</v>
      </c>
      <c r="O758" t="str">
        <f t="shared" si="23"/>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L759*orders!E759</f>
        <v>17.91</v>
      </c>
      <c r="N759" t="str">
        <f t="shared" si="22"/>
        <v>Arabica</v>
      </c>
      <c r="O759" t="str">
        <f t="shared" si="23"/>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L760*orders!E760</f>
        <v>8.9499999999999993</v>
      </c>
      <c r="N760" t="str">
        <f t="shared" si="22"/>
        <v>Robusta</v>
      </c>
      <c r="O760" t="str">
        <f t="shared" si="23"/>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L761*orders!E761</f>
        <v>29.784999999999997</v>
      </c>
      <c r="N761" t="str">
        <f t="shared" si="22"/>
        <v>Liberica</v>
      </c>
      <c r="O761" t="str">
        <f t="shared" si="23"/>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L762*orders!E762</f>
        <v>44.55</v>
      </c>
      <c r="N762" t="str">
        <f t="shared" si="22"/>
        <v>Excelsa</v>
      </c>
      <c r="O762" t="str">
        <f t="shared" si="23"/>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L763*orders!E763</f>
        <v>89.1</v>
      </c>
      <c r="N763" t="str">
        <f t="shared" si="22"/>
        <v>Excelsa</v>
      </c>
      <c r="O763" t="str">
        <f t="shared" si="23"/>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L764*orders!E764</f>
        <v>43.650000000000006</v>
      </c>
      <c r="N764" t="str">
        <f t="shared" si="22"/>
        <v>Liberica</v>
      </c>
      <c r="O764" t="str">
        <f t="shared" si="23"/>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L765*orders!E765</f>
        <v>23.31</v>
      </c>
      <c r="N765" t="str">
        <f t="shared" si="22"/>
        <v>Arabica</v>
      </c>
      <c r="O765" t="str">
        <f t="shared" si="23"/>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L766*orders!E766</f>
        <v>178.70999999999998</v>
      </c>
      <c r="N766" t="str">
        <f t="shared" si="22"/>
        <v>Arabica</v>
      </c>
      <c r="O766" t="str">
        <f t="shared" si="23"/>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L767*orders!E767</f>
        <v>59.699999999999996</v>
      </c>
      <c r="N767" t="str">
        <f t="shared" si="22"/>
        <v>Robusta</v>
      </c>
      <c r="O767" t="str">
        <f t="shared" si="23"/>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L768*orders!E768</f>
        <v>15.54</v>
      </c>
      <c r="N768" t="str">
        <f t="shared" si="22"/>
        <v>Arabica</v>
      </c>
      <c r="O768" t="str">
        <f t="shared" si="23"/>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L769*orders!E769</f>
        <v>89.35499999999999</v>
      </c>
      <c r="N769" t="str">
        <f t="shared" si="22"/>
        <v>Arabica</v>
      </c>
      <c r="O769" t="str">
        <f t="shared" si="23"/>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L770*orders!E770</f>
        <v>23.9</v>
      </c>
      <c r="N770" t="str">
        <f t="shared" si="22"/>
        <v>Robusta</v>
      </c>
      <c r="O770" t="str">
        <f t="shared" si="23"/>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L771*orders!E771</f>
        <v>137.31</v>
      </c>
      <c r="N771" t="str">
        <f t="shared" ref="N771:N834" si="24">IF(I771="Rob","Robusta",IF(I771="Exc","Excelsa",IF(I771="Ara","Arabica",IF(I771="Lib","Liberica",""))))</f>
        <v>Robusta</v>
      </c>
      <c r="O771" t="str">
        <f t="shared" ref="O771:O834" si="25">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L772*orders!E772</f>
        <v>9.9499999999999993</v>
      </c>
      <c r="N772" t="str">
        <f t="shared" si="24"/>
        <v>Arabica</v>
      </c>
      <c r="O772" t="str">
        <f t="shared" si="25"/>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L773*orders!E773</f>
        <v>21.509999999999998</v>
      </c>
      <c r="N773" t="str">
        <f t="shared" si="24"/>
        <v>Robusta</v>
      </c>
      <c r="O773" t="str">
        <f t="shared" si="25"/>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L774*orders!E774</f>
        <v>82.5</v>
      </c>
      <c r="N774" t="str">
        <f t="shared" si="24"/>
        <v>Excelsa</v>
      </c>
      <c r="O774" t="str">
        <f t="shared" si="25"/>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L775*orders!E775</f>
        <v>8.73</v>
      </c>
      <c r="N775" t="str">
        <f t="shared" si="24"/>
        <v>Liberica</v>
      </c>
      <c r="O775" t="str">
        <f t="shared" si="25"/>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L776*orders!E776</f>
        <v>19.899999999999999</v>
      </c>
      <c r="N776" t="str">
        <f t="shared" si="24"/>
        <v>Robusta</v>
      </c>
      <c r="O776" t="str">
        <f t="shared" si="25"/>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L777*orders!E777</f>
        <v>17.82</v>
      </c>
      <c r="N777" t="str">
        <f t="shared" si="24"/>
        <v>Excelsa</v>
      </c>
      <c r="O777" t="str">
        <f t="shared" si="25"/>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L778*orders!E778</f>
        <v>20.25</v>
      </c>
      <c r="N778" t="str">
        <f t="shared" si="24"/>
        <v>Arabica</v>
      </c>
      <c r="O778" t="str">
        <f t="shared" si="25"/>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L779*orders!E779</f>
        <v>59.569999999999993</v>
      </c>
      <c r="N779" t="str">
        <f t="shared" si="24"/>
        <v>Arabica</v>
      </c>
      <c r="O779" t="str">
        <f t="shared" si="25"/>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L780*orders!E780</f>
        <v>19.02</v>
      </c>
      <c r="N780" t="str">
        <f t="shared" si="24"/>
        <v>Liberica</v>
      </c>
      <c r="O780" t="str">
        <f t="shared" si="25"/>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L781*orders!E781</f>
        <v>77.699999999999989</v>
      </c>
      <c r="N781" t="str">
        <f t="shared" si="24"/>
        <v>Liberica</v>
      </c>
      <c r="O781" t="str">
        <f t="shared" si="25"/>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L782*orders!E782</f>
        <v>41.25</v>
      </c>
      <c r="N782" t="str">
        <f t="shared" si="24"/>
        <v>Excelsa</v>
      </c>
      <c r="O782" t="str">
        <f t="shared" si="25"/>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L783*orders!E783</f>
        <v>145.82</v>
      </c>
      <c r="N783" t="str">
        <f t="shared" si="24"/>
        <v>Liberica</v>
      </c>
      <c r="O783" t="str">
        <f t="shared" si="25"/>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L784*orders!E784</f>
        <v>26.73</v>
      </c>
      <c r="N784" t="str">
        <f t="shared" si="24"/>
        <v>Excelsa</v>
      </c>
      <c r="O784" t="str">
        <f t="shared" si="25"/>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L785*orders!E785</f>
        <v>43.650000000000006</v>
      </c>
      <c r="N785" t="str">
        <f t="shared" si="24"/>
        <v>Liberica</v>
      </c>
      <c r="O785" t="str">
        <f t="shared" si="25"/>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L786*orders!E786</f>
        <v>31.7</v>
      </c>
      <c r="N786" t="str">
        <f t="shared" si="24"/>
        <v>Liberica</v>
      </c>
      <c r="O786" t="str">
        <f t="shared" si="25"/>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L787*orders!E787</f>
        <v>22.884999999999998</v>
      </c>
      <c r="N787" t="str">
        <f t="shared" si="24"/>
        <v>Arabica</v>
      </c>
      <c r="O787" t="str">
        <f t="shared" si="25"/>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L788*orders!E788</f>
        <v>27.945</v>
      </c>
      <c r="N788" t="str">
        <f t="shared" si="24"/>
        <v>Excelsa</v>
      </c>
      <c r="O788" t="str">
        <f t="shared" si="25"/>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L789*orders!E789</f>
        <v>82.5</v>
      </c>
      <c r="N789" t="str">
        <f t="shared" si="24"/>
        <v>Excelsa</v>
      </c>
      <c r="O789" t="str">
        <f t="shared" si="25"/>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L790*orders!E790</f>
        <v>45.769999999999996</v>
      </c>
      <c r="N790" t="str">
        <f t="shared" si="24"/>
        <v>Robusta</v>
      </c>
      <c r="O790" t="str">
        <f t="shared" si="25"/>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L791*orders!E791</f>
        <v>77.699999999999989</v>
      </c>
      <c r="N791" t="str">
        <f t="shared" si="24"/>
        <v>Arabica</v>
      </c>
      <c r="O791" t="str">
        <f t="shared" si="25"/>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L792*orders!E792</f>
        <v>23.31</v>
      </c>
      <c r="N792" t="str">
        <f t="shared" si="24"/>
        <v>Arabica</v>
      </c>
      <c r="O792" t="str">
        <f t="shared" si="25"/>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L793*orders!E793</f>
        <v>23.774999999999999</v>
      </c>
      <c r="N793" t="str">
        <f t="shared" si="24"/>
        <v>Liberica</v>
      </c>
      <c r="O793" t="str">
        <f t="shared" si="25"/>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L794*orders!E794</f>
        <v>52.38</v>
      </c>
      <c r="N794" t="str">
        <f t="shared" si="24"/>
        <v>Liberica</v>
      </c>
      <c r="O794" t="str">
        <f t="shared" si="25"/>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L795*orders!E795</f>
        <v>17.924999999999997</v>
      </c>
      <c r="N795" t="str">
        <f t="shared" si="24"/>
        <v>Robusta</v>
      </c>
      <c r="O795" t="str">
        <f t="shared" si="25"/>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L796*orders!E796</f>
        <v>148.92499999999998</v>
      </c>
      <c r="N796" t="str">
        <f t="shared" si="24"/>
        <v>Arabica</v>
      </c>
      <c r="O796" t="str">
        <f t="shared" si="25"/>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L797*orders!E797</f>
        <v>28.679999999999996</v>
      </c>
      <c r="N797" t="str">
        <f t="shared" si="24"/>
        <v>Robusta</v>
      </c>
      <c r="O797" t="str">
        <f t="shared" si="25"/>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L798*orders!E798</f>
        <v>9.51</v>
      </c>
      <c r="N798" t="str">
        <f t="shared" si="24"/>
        <v>Liberica</v>
      </c>
      <c r="O798" t="str">
        <f t="shared" si="25"/>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L799*orders!E799</f>
        <v>31.08</v>
      </c>
      <c r="N799" t="str">
        <f t="shared" si="24"/>
        <v>Arabica</v>
      </c>
      <c r="O799" t="str">
        <f t="shared" si="25"/>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L800*orders!E800</f>
        <v>8.0549999999999997</v>
      </c>
      <c r="N800" t="str">
        <f t="shared" si="24"/>
        <v>Robusta</v>
      </c>
      <c r="O800" t="str">
        <f t="shared" si="25"/>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L801*orders!E801</f>
        <v>36.450000000000003</v>
      </c>
      <c r="N801" t="str">
        <f t="shared" si="24"/>
        <v>Excelsa</v>
      </c>
      <c r="O801" t="str">
        <f t="shared" si="25"/>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L802*orders!E802</f>
        <v>16.11</v>
      </c>
      <c r="N802" t="str">
        <f t="shared" si="24"/>
        <v>Robusta</v>
      </c>
      <c r="O802" t="str">
        <f t="shared" si="25"/>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L803*orders!E803</f>
        <v>41.169999999999995</v>
      </c>
      <c r="N803" t="str">
        <f t="shared" si="24"/>
        <v>Robusta</v>
      </c>
      <c r="O803" t="str">
        <f t="shared" si="25"/>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L804*orders!E804</f>
        <v>10.739999999999998</v>
      </c>
      <c r="N804" t="str">
        <f t="shared" si="24"/>
        <v>Robusta</v>
      </c>
      <c r="O804" t="str">
        <f t="shared" si="25"/>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L805*orders!E805</f>
        <v>126.49999999999999</v>
      </c>
      <c r="N805" t="str">
        <f t="shared" si="24"/>
        <v>Excelsa</v>
      </c>
      <c r="O805" t="str">
        <f t="shared" si="25"/>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L806*orders!E806</f>
        <v>23.9</v>
      </c>
      <c r="N806" t="str">
        <f t="shared" si="24"/>
        <v>Robusta</v>
      </c>
      <c r="O806" t="str">
        <f t="shared" si="25"/>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L807*orders!E807</f>
        <v>5.97</v>
      </c>
      <c r="N807" t="str">
        <f t="shared" si="24"/>
        <v>Robusta</v>
      </c>
      <c r="O807" t="str">
        <f t="shared" si="25"/>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L808*orders!E808</f>
        <v>7.77</v>
      </c>
      <c r="N808" t="str">
        <f t="shared" si="24"/>
        <v>Liberica</v>
      </c>
      <c r="O808" t="str">
        <f t="shared" si="25"/>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L809*orders!E809</f>
        <v>23.31</v>
      </c>
      <c r="N809" t="str">
        <f t="shared" si="24"/>
        <v>Liberica</v>
      </c>
      <c r="O809" t="str">
        <f t="shared" si="25"/>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L810*orders!E810</f>
        <v>137.42499999999998</v>
      </c>
      <c r="N810" t="str">
        <f t="shared" si="24"/>
        <v>Robusta</v>
      </c>
      <c r="O810" t="str">
        <f t="shared" si="25"/>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L811*orders!E811</f>
        <v>8.0549999999999997</v>
      </c>
      <c r="N811" t="str">
        <f t="shared" si="24"/>
        <v>Robusta</v>
      </c>
      <c r="O811" t="str">
        <f t="shared" si="25"/>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L812*orders!E812</f>
        <v>28.53</v>
      </c>
      <c r="N812" t="str">
        <f t="shared" si="24"/>
        <v>Liberica</v>
      </c>
      <c r="O812" t="str">
        <f t="shared" si="25"/>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L813*orders!E813</f>
        <v>67.5</v>
      </c>
      <c r="N813" t="str">
        <f t="shared" si="24"/>
        <v>Arabica</v>
      </c>
      <c r="O813" t="str">
        <f t="shared" si="25"/>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L814*orders!E814</f>
        <v>178.70999999999998</v>
      </c>
      <c r="N814" t="str">
        <f t="shared" si="24"/>
        <v>Liberica</v>
      </c>
      <c r="O814" t="str">
        <f t="shared" si="25"/>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L815*orders!E815</f>
        <v>31.624999999999996</v>
      </c>
      <c r="N815" t="str">
        <f t="shared" si="24"/>
        <v>Excelsa</v>
      </c>
      <c r="O815" t="str">
        <f t="shared" si="25"/>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L816*orders!E816</f>
        <v>8.91</v>
      </c>
      <c r="N816" t="str">
        <f t="shared" si="24"/>
        <v>Excelsa</v>
      </c>
      <c r="O816" t="str">
        <f t="shared" si="25"/>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L817*orders!E817</f>
        <v>35.82</v>
      </c>
      <c r="N817" t="str">
        <f t="shared" si="24"/>
        <v>Robusta</v>
      </c>
      <c r="O817" t="str">
        <f t="shared" si="25"/>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L818*orders!E818</f>
        <v>38.04</v>
      </c>
      <c r="N818" t="str">
        <f t="shared" si="24"/>
        <v>Liberica</v>
      </c>
      <c r="O818" t="str">
        <f t="shared" si="25"/>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L819*orders!E819</f>
        <v>15.54</v>
      </c>
      <c r="N819" t="str">
        <f t="shared" si="24"/>
        <v>Liberica</v>
      </c>
      <c r="O819" t="str">
        <f t="shared" si="25"/>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L820*orders!E820</f>
        <v>79.25</v>
      </c>
      <c r="N820" t="str">
        <f t="shared" si="24"/>
        <v>Liberica</v>
      </c>
      <c r="O820" t="str">
        <f t="shared" si="25"/>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L821*orders!E821</f>
        <v>4.7549999999999999</v>
      </c>
      <c r="N821" t="str">
        <f t="shared" si="24"/>
        <v>Liberica</v>
      </c>
      <c r="O821" t="str">
        <f t="shared" si="25"/>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L822*orders!E822</f>
        <v>55</v>
      </c>
      <c r="N822" t="str">
        <f t="shared" si="24"/>
        <v>Excelsa</v>
      </c>
      <c r="O822" t="str">
        <f t="shared" si="25"/>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L823*orders!E823</f>
        <v>26.849999999999994</v>
      </c>
      <c r="N823" t="str">
        <f t="shared" si="24"/>
        <v>Robusta</v>
      </c>
      <c r="O823" t="str">
        <f t="shared" si="25"/>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L824*orders!E824</f>
        <v>136.61999999999998</v>
      </c>
      <c r="N824" t="str">
        <f t="shared" si="24"/>
        <v>Excelsa</v>
      </c>
      <c r="O824" t="str">
        <f t="shared" si="25"/>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L825*orders!E825</f>
        <v>47.55</v>
      </c>
      <c r="N825" t="str">
        <f t="shared" si="24"/>
        <v>Liberica</v>
      </c>
      <c r="O825" t="str">
        <f t="shared" si="25"/>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L826*orders!E826</f>
        <v>16.875</v>
      </c>
      <c r="N826" t="str">
        <f t="shared" si="24"/>
        <v>Arabica</v>
      </c>
      <c r="O826" t="str">
        <f t="shared" si="25"/>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L827*orders!E827</f>
        <v>29.849999999999998</v>
      </c>
      <c r="N827" t="str">
        <f t="shared" si="24"/>
        <v>Arabica</v>
      </c>
      <c r="O827" t="str">
        <f t="shared" si="25"/>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L828*orders!E828</f>
        <v>41.25</v>
      </c>
      <c r="N828" t="str">
        <f t="shared" si="24"/>
        <v>Excelsa</v>
      </c>
      <c r="O828" t="str">
        <f t="shared" si="25"/>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L829*orders!E829</f>
        <v>20.625</v>
      </c>
      <c r="N829" t="str">
        <f t="shared" si="24"/>
        <v>Excelsa</v>
      </c>
      <c r="O829" t="str">
        <f t="shared" si="25"/>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L830*orders!E830</f>
        <v>137.31</v>
      </c>
      <c r="N830" t="str">
        <f t="shared" si="24"/>
        <v>Arabica</v>
      </c>
      <c r="O830" t="str">
        <f t="shared" si="25"/>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L831*orders!E831</f>
        <v>2.9849999999999999</v>
      </c>
      <c r="N831" t="str">
        <f t="shared" si="24"/>
        <v>Arabica</v>
      </c>
      <c r="O831" t="str">
        <f t="shared" si="25"/>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L832*orders!E832</f>
        <v>27.5</v>
      </c>
      <c r="N832" t="str">
        <f t="shared" si="24"/>
        <v>Excelsa</v>
      </c>
      <c r="O832" t="str">
        <f t="shared" si="25"/>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L833*orders!E833</f>
        <v>5.97</v>
      </c>
      <c r="N833" t="str">
        <f t="shared" si="24"/>
        <v>Arabica</v>
      </c>
      <c r="O833" t="str">
        <f t="shared" si="25"/>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L834*orders!E834</f>
        <v>59.699999999999996</v>
      </c>
      <c r="N834" t="str">
        <f t="shared" si="24"/>
        <v>Robusta</v>
      </c>
      <c r="O834" t="str">
        <f t="shared" si="25"/>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L835*orders!E835</f>
        <v>82.339999999999989</v>
      </c>
      <c r="N835" t="str">
        <f t="shared" ref="N835:N898" si="26">IF(I835="Rob","Robusta",IF(I835="Exc","Excelsa",IF(I835="Ara","Arabica",IF(I835="Lib","Liberica",""))))</f>
        <v>Robusta</v>
      </c>
      <c r="O835" t="str">
        <f t="shared" ref="O835:O898" si="27">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L836*orders!E836</f>
        <v>22.884999999999998</v>
      </c>
      <c r="N836" t="str">
        <f t="shared" si="26"/>
        <v>Arabica</v>
      </c>
      <c r="O836" t="str">
        <f t="shared" si="27"/>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L837*orders!E837</f>
        <v>8.91</v>
      </c>
      <c r="N837" t="str">
        <f t="shared" si="26"/>
        <v>Excelsa</v>
      </c>
      <c r="O837" t="str">
        <f t="shared" si="27"/>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L838*orders!E838</f>
        <v>11.94</v>
      </c>
      <c r="N838" t="str">
        <f t="shared" si="26"/>
        <v>Arabica</v>
      </c>
      <c r="O838" t="str">
        <f t="shared" si="27"/>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L839*orders!E839</f>
        <v>100.39499999999998</v>
      </c>
      <c r="N839" t="str">
        <f t="shared" si="26"/>
        <v>Liberica</v>
      </c>
      <c r="O839" t="str">
        <f t="shared" si="27"/>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L840*orders!E840</f>
        <v>114.42499999999998</v>
      </c>
      <c r="N840" t="str">
        <f t="shared" si="26"/>
        <v>Arabica</v>
      </c>
      <c r="O840" t="str">
        <f t="shared" si="27"/>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L841*orders!E841</f>
        <v>41.25</v>
      </c>
      <c r="N841" t="str">
        <f t="shared" si="26"/>
        <v>Excelsa</v>
      </c>
      <c r="O841" t="str">
        <f t="shared" si="27"/>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L842*orders!E842</f>
        <v>28.679999999999996</v>
      </c>
      <c r="N842" t="str">
        <f t="shared" si="26"/>
        <v>Robusta</v>
      </c>
      <c r="O842" t="str">
        <f t="shared" si="27"/>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L843*orders!E843</f>
        <v>4.3650000000000002</v>
      </c>
      <c r="N843" t="str">
        <f t="shared" si="26"/>
        <v>Liberica</v>
      </c>
      <c r="O843" t="str">
        <f t="shared" si="27"/>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L844*orders!E844</f>
        <v>8.25</v>
      </c>
      <c r="N844" t="str">
        <f t="shared" si="26"/>
        <v>Excelsa</v>
      </c>
      <c r="O844" t="str">
        <f t="shared" si="27"/>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L845*orders!E845</f>
        <v>8.25</v>
      </c>
      <c r="N845" t="str">
        <f t="shared" si="26"/>
        <v>Excelsa</v>
      </c>
      <c r="O845" t="str">
        <f t="shared" si="27"/>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L846*orders!E846</f>
        <v>35.82</v>
      </c>
      <c r="N846" t="str">
        <f t="shared" si="26"/>
        <v>Arabica</v>
      </c>
      <c r="O846" t="str">
        <f t="shared" si="27"/>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L847*orders!E847</f>
        <v>167.67000000000002</v>
      </c>
      <c r="N847" t="str">
        <f t="shared" si="26"/>
        <v>Excelsa</v>
      </c>
      <c r="O847" t="str">
        <f t="shared" si="27"/>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L848*orders!E848</f>
        <v>51.749999999999993</v>
      </c>
      <c r="N848" t="str">
        <f t="shared" si="26"/>
        <v>Arabica</v>
      </c>
      <c r="O848" t="str">
        <f t="shared" si="27"/>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L849*orders!E849</f>
        <v>8.9550000000000001</v>
      </c>
      <c r="N849" t="str">
        <f t="shared" si="26"/>
        <v>Arabica</v>
      </c>
      <c r="O849" t="str">
        <f t="shared" si="27"/>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L850*orders!E850</f>
        <v>53.46</v>
      </c>
      <c r="N850" t="str">
        <f t="shared" si="26"/>
        <v>Excelsa</v>
      </c>
      <c r="O850" t="str">
        <f t="shared" si="27"/>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L851*orders!E851</f>
        <v>23.31</v>
      </c>
      <c r="N851" t="str">
        <f t="shared" si="26"/>
        <v>Arabica</v>
      </c>
      <c r="O851" t="str">
        <f t="shared" si="27"/>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L852*orders!E852</f>
        <v>6.75</v>
      </c>
      <c r="N852" t="str">
        <f t="shared" si="26"/>
        <v>Arabica</v>
      </c>
      <c r="O852" t="str">
        <f t="shared" si="27"/>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L853*orders!E853</f>
        <v>7.77</v>
      </c>
      <c r="N853" t="str">
        <f t="shared" si="26"/>
        <v>Liberica</v>
      </c>
      <c r="O853" t="str">
        <f t="shared" si="27"/>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L854*orders!E854</f>
        <v>119.13999999999999</v>
      </c>
      <c r="N854" t="str">
        <f t="shared" si="26"/>
        <v>Liberica</v>
      </c>
      <c r="O854" t="str">
        <f t="shared" si="27"/>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L855*orders!E855</f>
        <v>19.899999999999999</v>
      </c>
      <c r="N855" t="str">
        <f t="shared" si="26"/>
        <v>Arabica</v>
      </c>
      <c r="O855" t="str">
        <f t="shared" si="27"/>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L856*orders!E856</f>
        <v>35.849999999999994</v>
      </c>
      <c r="N856" t="str">
        <f t="shared" si="26"/>
        <v>Robusta</v>
      </c>
      <c r="O856" t="str">
        <f t="shared" si="27"/>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L857*orders!E857</f>
        <v>89.35499999999999</v>
      </c>
      <c r="N857" t="str">
        <f t="shared" si="26"/>
        <v>Liberica</v>
      </c>
      <c r="O857" t="str">
        <f t="shared" si="27"/>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L858*orders!E858</f>
        <v>8.73</v>
      </c>
      <c r="N858" t="str">
        <f t="shared" si="26"/>
        <v>Liberica</v>
      </c>
      <c r="O858" t="str">
        <f t="shared" si="27"/>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L859*orders!E859</f>
        <v>137.42499999999998</v>
      </c>
      <c r="N859" t="str">
        <f t="shared" si="26"/>
        <v>Robusta</v>
      </c>
      <c r="O859" t="str">
        <f t="shared" si="27"/>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L860*orders!E860</f>
        <v>34.92</v>
      </c>
      <c r="N860" t="str">
        <f t="shared" si="26"/>
        <v>Liberica</v>
      </c>
      <c r="O860" t="str">
        <f t="shared" si="27"/>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L861*orders!E861</f>
        <v>178.70999999999998</v>
      </c>
      <c r="N861" t="str">
        <f t="shared" si="26"/>
        <v>Arabica</v>
      </c>
      <c r="O861" t="str">
        <f t="shared" si="27"/>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L862*orders!E862</f>
        <v>25.874999999999996</v>
      </c>
      <c r="N862" t="str">
        <f t="shared" si="26"/>
        <v>Arabica</v>
      </c>
      <c r="O862" t="str">
        <f t="shared" si="27"/>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L863*orders!E863</f>
        <v>77.699999999999989</v>
      </c>
      <c r="N863" t="str">
        <f t="shared" si="26"/>
        <v>Liberica</v>
      </c>
      <c r="O863" t="str">
        <f t="shared" si="27"/>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L864*orders!E864</f>
        <v>9.9499999999999993</v>
      </c>
      <c r="N864" t="str">
        <f t="shared" si="26"/>
        <v>Robusta</v>
      </c>
      <c r="O864" t="str">
        <f t="shared" si="27"/>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L865*orders!E865</f>
        <v>29.1</v>
      </c>
      <c r="N865" t="str">
        <f t="shared" si="26"/>
        <v>Liberica</v>
      </c>
      <c r="O865" t="str">
        <f t="shared" si="27"/>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L866*orders!E866</f>
        <v>21.509999999999998</v>
      </c>
      <c r="N866" t="str">
        <f t="shared" si="26"/>
        <v>Robusta</v>
      </c>
      <c r="O866" t="str">
        <f t="shared" si="27"/>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L867*orders!E867</f>
        <v>6.75</v>
      </c>
      <c r="N867" t="str">
        <f t="shared" si="26"/>
        <v>Arabica</v>
      </c>
      <c r="O867" t="str">
        <f t="shared" si="27"/>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L868*orders!E868</f>
        <v>17.91</v>
      </c>
      <c r="N868" t="str">
        <f t="shared" si="26"/>
        <v>Arabica</v>
      </c>
      <c r="O868" t="str">
        <f t="shared" si="27"/>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L869*orders!E869</f>
        <v>29.784999999999997</v>
      </c>
      <c r="N869" t="str">
        <f t="shared" si="26"/>
        <v>Arabica</v>
      </c>
      <c r="O869" t="str">
        <f t="shared" si="27"/>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L870*orders!E870</f>
        <v>41.25</v>
      </c>
      <c r="N870" t="str">
        <f t="shared" si="26"/>
        <v>Excelsa</v>
      </c>
      <c r="O870" t="str">
        <f t="shared" si="27"/>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L871*orders!E871</f>
        <v>17.91</v>
      </c>
      <c r="N871" t="str">
        <f t="shared" si="26"/>
        <v>Robusta</v>
      </c>
      <c r="O871" t="str">
        <f t="shared" si="27"/>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L872*orders!E872</f>
        <v>7.29</v>
      </c>
      <c r="N872" t="str">
        <f t="shared" si="26"/>
        <v>Excelsa</v>
      </c>
      <c r="O872" t="str">
        <f t="shared" si="27"/>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L873*orders!E873</f>
        <v>29.7</v>
      </c>
      <c r="N873" t="str">
        <f t="shared" si="26"/>
        <v>Excelsa</v>
      </c>
      <c r="O873" t="str">
        <f t="shared" si="27"/>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L874*orders!E874</f>
        <v>22.5</v>
      </c>
      <c r="N874" t="str">
        <f t="shared" si="26"/>
        <v>Arabica</v>
      </c>
      <c r="O874" t="str">
        <f t="shared" si="27"/>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L875*orders!E875</f>
        <v>11.94</v>
      </c>
      <c r="N875" t="str">
        <f t="shared" si="26"/>
        <v>Robusta</v>
      </c>
      <c r="O875" t="str">
        <f t="shared" si="27"/>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L876*orders!E876</f>
        <v>25.9</v>
      </c>
      <c r="N876" t="str">
        <f t="shared" si="26"/>
        <v>Arabica</v>
      </c>
      <c r="O876" t="str">
        <f t="shared" si="27"/>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L877*orders!E877</f>
        <v>43.650000000000006</v>
      </c>
      <c r="N877" t="str">
        <f t="shared" si="26"/>
        <v>Liberica</v>
      </c>
      <c r="O877" t="str">
        <f t="shared" si="27"/>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L878*orders!E878</f>
        <v>46.62</v>
      </c>
      <c r="N878" t="str">
        <f t="shared" si="26"/>
        <v>Arabica</v>
      </c>
      <c r="O878" t="str">
        <f t="shared" si="27"/>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L879*orders!E879</f>
        <v>28.53</v>
      </c>
      <c r="N879" t="str">
        <f t="shared" si="26"/>
        <v>Liberica</v>
      </c>
      <c r="O879" t="str">
        <f t="shared" si="27"/>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L880*orders!E880</f>
        <v>27.484999999999996</v>
      </c>
      <c r="N880" t="str">
        <f t="shared" si="26"/>
        <v>Robusta</v>
      </c>
      <c r="O880" t="str">
        <f t="shared" si="27"/>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L881*orders!E881</f>
        <v>10.935</v>
      </c>
      <c r="N881" t="str">
        <f t="shared" si="26"/>
        <v>Excelsa</v>
      </c>
      <c r="O881" t="str">
        <f t="shared" si="27"/>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L882*orders!E882</f>
        <v>7.169999999999999</v>
      </c>
      <c r="N882" t="str">
        <f t="shared" si="26"/>
        <v>Robusta</v>
      </c>
      <c r="O882" t="str">
        <f t="shared" si="27"/>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L883*orders!E883</f>
        <v>23.31</v>
      </c>
      <c r="N883" t="str">
        <f t="shared" si="26"/>
        <v>Arabica</v>
      </c>
      <c r="O883" t="str">
        <f t="shared" si="27"/>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L884*orders!E884</f>
        <v>114.42499999999998</v>
      </c>
      <c r="N884" t="str">
        <f t="shared" si="26"/>
        <v>Arabica</v>
      </c>
      <c r="O884" t="str">
        <f t="shared" si="27"/>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L885*orders!E885</f>
        <v>77.624999999999986</v>
      </c>
      <c r="N885" t="str">
        <f t="shared" si="26"/>
        <v>Arabica</v>
      </c>
      <c r="O885" t="str">
        <f t="shared" si="27"/>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L886*orders!E886</f>
        <v>5.3699999999999992</v>
      </c>
      <c r="N886" t="str">
        <f t="shared" si="26"/>
        <v>Robusta</v>
      </c>
      <c r="O886" t="str">
        <f t="shared" si="27"/>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L887*orders!E887</f>
        <v>123.50999999999999</v>
      </c>
      <c r="N887" t="str">
        <f t="shared" si="26"/>
        <v>Robusta</v>
      </c>
      <c r="O887" t="str">
        <f t="shared" si="27"/>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L888*orders!E888</f>
        <v>17.46</v>
      </c>
      <c r="N888" t="str">
        <f t="shared" si="26"/>
        <v>Liberica</v>
      </c>
      <c r="O888" t="str">
        <f t="shared" si="27"/>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L889*orders!E889</f>
        <v>13.365</v>
      </c>
      <c r="N889" t="str">
        <f t="shared" si="26"/>
        <v>Excelsa</v>
      </c>
      <c r="O889" t="str">
        <f t="shared" si="27"/>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L890*orders!E890</f>
        <v>7.77</v>
      </c>
      <c r="N890" t="str">
        <f t="shared" si="26"/>
        <v>Arabica</v>
      </c>
      <c r="O890" t="str">
        <f t="shared" si="27"/>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L891*orders!E891</f>
        <v>2.6849999999999996</v>
      </c>
      <c r="N891" t="str">
        <f t="shared" si="26"/>
        <v>Robusta</v>
      </c>
      <c r="O891" t="str">
        <f t="shared" si="27"/>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L892*orders!E892</f>
        <v>20.584999999999997</v>
      </c>
      <c r="N892" t="str">
        <f t="shared" si="26"/>
        <v>Robusta</v>
      </c>
      <c r="O892" t="str">
        <f t="shared" si="27"/>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L893*orders!E893</f>
        <v>114.42499999999998</v>
      </c>
      <c r="N893" t="str">
        <f t="shared" si="26"/>
        <v>Arabica</v>
      </c>
      <c r="O893" t="str">
        <f t="shared" si="27"/>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L894*orders!E894</f>
        <v>20.625</v>
      </c>
      <c r="N894" t="str">
        <f t="shared" si="26"/>
        <v>Excelsa</v>
      </c>
      <c r="O894" t="str">
        <f t="shared" si="27"/>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L895*orders!E895</f>
        <v>57.06</v>
      </c>
      <c r="N895" t="str">
        <f t="shared" si="26"/>
        <v>Liberica</v>
      </c>
      <c r="O895" t="str">
        <f t="shared" si="27"/>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L896*orders!E896</f>
        <v>82.339999999999989</v>
      </c>
      <c r="N896" t="str">
        <f t="shared" si="26"/>
        <v>Robusta</v>
      </c>
      <c r="O896" t="str">
        <f t="shared" si="27"/>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L897*orders!E897</f>
        <v>158.12499999999997</v>
      </c>
      <c r="N897" t="str">
        <f t="shared" si="26"/>
        <v>Excelsa</v>
      </c>
      <c r="O897" t="str">
        <f t="shared" si="27"/>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L898*orders!E898</f>
        <v>32.22</v>
      </c>
      <c r="N898" t="str">
        <f t="shared" si="26"/>
        <v>Robusta</v>
      </c>
      <c r="O898" t="str">
        <f t="shared" si="27"/>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L899*orders!E899</f>
        <v>24.3</v>
      </c>
      <c r="N899" t="str">
        <f t="shared" ref="N899:N962" si="28">IF(I899="Rob","Robusta",IF(I899="Exc","Excelsa",IF(I899="Ara","Arabica",IF(I899="Lib","Liberica",""))))</f>
        <v>Excelsa</v>
      </c>
      <c r="O899" t="str">
        <f t="shared" ref="O899:O962" si="29">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L900*orders!E900</f>
        <v>35.849999999999994</v>
      </c>
      <c r="N900" t="str">
        <f t="shared" si="28"/>
        <v>Robusta</v>
      </c>
      <c r="O900" t="str">
        <f t="shared" si="29"/>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L901*orders!E901</f>
        <v>72.75</v>
      </c>
      <c r="N901" t="str">
        <f t="shared" si="28"/>
        <v>Liberica</v>
      </c>
      <c r="O901" t="str">
        <f t="shared" si="29"/>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L902*orders!E902</f>
        <v>47.55</v>
      </c>
      <c r="N902" t="str">
        <f t="shared" si="28"/>
        <v>Liberica</v>
      </c>
      <c r="O902" t="str">
        <f t="shared" si="29"/>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L903*orders!E903</f>
        <v>3.5849999999999995</v>
      </c>
      <c r="N903" t="str">
        <f t="shared" si="28"/>
        <v>Robusta</v>
      </c>
      <c r="O903" t="str">
        <f t="shared" si="29"/>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L904*orders!E904</f>
        <v>158.12499999999997</v>
      </c>
      <c r="N904" t="str">
        <f t="shared" si="28"/>
        <v>Excelsa</v>
      </c>
      <c r="O904" t="str">
        <f t="shared" si="29"/>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L905*orders!E905</f>
        <v>17.46</v>
      </c>
      <c r="N905" t="str">
        <f t="shared" si="28"/>
        <v>Liberica</v>
      </c>
      <c r="O905" t="str">
        <f t="shared" si="29"/>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L906*orders!E906</f>
        <v>148.92499999999998</v>
      </c>
      <c r="N906" t="str">
        <f t="shared" si="28"/>
        <v>Arabica</v>
      </c>
      <c r="O906" t="str">
        <f t="shared" si="29"/>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L907*orders!E907</f>
        <v>40.5</v>
      </c>
      <c r="N907" t="str">
        <f t="shared" si="28"/>
        <v>Arabica</v>
      </c>
      <c r="O907" t="str">
        <f t="shared" si="29"/>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L908*orders!E908</f>
        <v>27</v>
      </c>
      <c r="N908" t="str">
        <f t="shared" si="28"/>
        <v>Arabica</v>
      </c>
      <c r="O908" t="str">
        <f t="shared" si="29"/>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L909*orders!E909</f>
        <v>38.849999999999994</v>
      </c>
      <c r="N909" t="str">
        <f t="shared" si="28"/>
        <v>Liberica</v>
      </c>
      <c r="O909" t="str">
        <f t="shared" si="29"/>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L910*orders!E910</f>
        <v>59.75</v>
      </c>
      <c r="N910" t="str">
        <f t="shared" si="28"/>
        <v>Robusta</v>
      </c>
      <c r="O910" t="str">
        <f t="shared" si="29"/>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L911*orders!E911</f>
        <v>10.754999999999999</v>
      </c>
      <c r="N911" t="str">
        <f t="shared" si="28"/>
        <v>Robusta</v>
      </c>
      <c r="O911" t="str">
        <f t="shared" si="29"/>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L912*orders!E912</f>
        <v>91.539999999999992</v>
      </c>
      <c r="N912" t="str">
        <f t="shared" si="28"/>
        <v>Arabica</v>
      </c>
      <c r="O912" t="str">
        <f t="shared" si="29"/>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L913*orders!E913</f>
        <v>45</v>
      </c>
      <c r="N913" t="str">
        <f t="shared" si="28"/>
        <v>Arabica</v>
      </c>
      <c r="O913" t="str">
        <f t="shared" si="29"/>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L914*orders!E914</f>
        <v>137.31</v>
      </c>
      <c r="N914" t="str">
        <f t="shared" si="28"/>
        <v>Robusta</v>
      </c>
      <c r="O914" t="str">
        <f t="shared" si="29"/>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L915*orders!E915</f>
        <v>6.75</v>
      </c>
      <c r="N915" t="str">
        <f t="shared" si="28"/>
        <v>Arabica</v>
      </c>
      <c r="O915" t="str">
        <f t="shared" si="29"/>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L916*orders!E916</f>
        <v>45</v>
      </c>
      <c r="N916" t="str">
        <f t="shared" si="28"/>
        <v>Arabica</v>
      </c>
      <c r="O916" t="str">
        <f t="shared" si="29"/>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L917*orders!E917</f>
        <v>83.835000000000008</v>
      </c>
      <c r="N917" t="str">
        <f t="shared" si="28"/>
        <v>Excelsa</v>
      </c>
      <c r="O917" t="str">
        <f t="shared" si="29"/>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L918*orders!E918</f>
        <v>3.645</v>
      </c>
      <c r="N918" t="str">
        <f t="shared" si="28"/>
        <v>Excelsa</v>
      </c>
      <c r="O918" t="str">
        <f t="shared" si="29"/>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L919*orders!E919</f>
        <v>6.75</v>
      </c>
      <c r="N919" t="str">
        <f t="shared" si="28"/>
        <v>Arabica</v>
      </c>
      <c r="O919" t="str">
        <f t="shared" si="29"/>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L920*orders!E920</f>
        <v>21.87</v>
      </c>
      <c r="N920" t="str">
        <f t="shared" si="28"/>
        <v>Excelsa</v>
      </c>
      <c r="O920" t="str">
        <f t="shared" si="29"/>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L921*orders!E921</f>
        <v>13.424999999999997</v>
      </c>
      <c r="N921" t="str">
        <f t="shared" si="28"/>
        <v>Robusta</v>
      </c>
      <c r="O921" t="str">
        <f t="shared" si="29"/>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L922*orders!E922</f>
        <v>123.50999999999999</v>
      </c>
      <c r="N922" t="str">
        <f t="shared" si="28"/>
        <v>Robusta</v>
      </c>
      <c r="O922" t="str">
        <f t="shared" si="29"/>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L923*orders!E923</f>
        <v>7.77</v>
      </c>
      <c r="N923" t="str">
        <f t="shared" si="28"/>
        <v>Liberica</v>
      </c>
      <c r="O923" t="str">
        <f t="shared" si="29"/>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L924*orders!E924</f>
        <v>67.5</v>
      </c>
      <c r="N924" t="str">
        <f t="shared" si="28"/>
        <v>Arabica</v>
      </c>
      <c r="O924" t="str">
        <f t="shared" si="29"/>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L925*orders!E925</f>
        <v>27.945</v>
      </c>
      <c r="N925" t="str">
        <f t="shared" si="28"/>
        <v>Excelsa</v>
      </c>
      <c r="O925" t="str">
        <f t="shared" si="29"/>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L926*orders!E926</f>
        <v>89.35499999999999</v>
      </c>
      <c r="N926" t="str">
        <f t="shared" si="28"/>
        <v>Arabica</v>
      </c>
      <c r="O926" t="str">
        <f t="shared" si="29"/>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L927*orders!E927</f>
        <v>20.25</v>
      </c>
      <c r="N927" t="str">
        <f t="shared" si="28"/>
        <v>Arabica</v>
      </c>
      <c r="O927" t="str">
        <f t="shared" si="29"/>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L928*orders!E928</f>
        <v>33.75</v>
      </c>
      <c r="N928" t="str">
        <f t="shared" si="28"/>
        <v>Arabica</v>
      </c>
      <c r="O928" t="str">
        <f t="shared" si="29"/>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L929*orders!E929</f>
        <v>111.78</v>
      </c>
      <c r="N929" t="str">
        <f t="shared" si="28"/>
        <v>Excelsa</v>
      </c>
      <c r="O929" t="str">
        <f t="shared" si="29"/>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L930*orders!E930</f>
        <v>63.249999999999993</v>
      </c>
      <c r="N930" t="str">
        <f t="shared" si="28"/>
        <v>Excelsa</v>
      </c>
      <c r="O930" t="str">
        <f t="shared" si="29"/>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L931*orders!E931</f>
        <v>8.91</v>
      </c>
      <c r="N931" t="str">
        <f t="shared" si="28"/>
        <v>Excelsa</v>
      </c>
      <c r="O931" t="str">
        <f t="shared" si="29"/>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L932*orders!E932</f>
        <v>12.15</v>
      </c>
      <c r="N932" t="str">
        <f t="shared" si="28"/>
        <v>Excelsa</v>
      </c>
      <c r="O932" t="str">
        <f t="shared" si="29"/>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L933*orders!E933</f>
        <v>23.88</v>
      </c>
      <c r="N933" t="str">
        <f t="shared" si="28"/>
        <v>Arabica</v>
      </c>
      <c r="O933" t="str">
        <f t="shared" si="29"/>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L934*orders!E934</f>
        <v>55</v>
      </c>
      <c r="N934" t="str">
        <f t="shared" si="28"/>
        <v>Excelsa</v>
      </c>
      <c r="O934" t="str">
        <f t="shared" si="29"/>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L935*orders!E935</f>
        <v>26.849999999999998</v>
      </c>
      <c r="N935" t="str">
        <f t="shared" si="28"/>
        <v>Robusta</v>
      </c>
      <c r="O935" t="str">
        <f t="shared" si="29"/>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L936*orders!E936</f>
        <v>114.42499999999998</v>
      </c>
      <c r="N936" t="str">
        <f t="shared" si="28"/>
        <v>Robusta</v>
      </c>
      <c r="O936" t="str">
        <f t="shared" si="29"/>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L937*orders!E937</f>
        <v>155.24999999999997</v>
      </c>
      <c r="N937" t="str">
        <f t="shared" si="28"/>
        <v>Arabica</v>
      </c>
      <c r="O937" t="str">
        <f t="shared" si="29"/>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L938*orders!E938</f>
        <v>23.31</v>
      </c>
      <c r="N938" t="str">
        <f t="shared" si="28"/>
        <v>Liberica</v>
      </c>
      <c r="O938" t="str">
        <f t="shared" si="29"/>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L939*orders!E939</f>
        <v>91.539999999999992</v>
      </c>
      <c r="N939" t="str">
        <f t="shared" si="28"/>
        <v>Robusta</v>
      </c>
      <c r="O939" t="str">
        <f t="shared" si="29"/>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L940*orders!E940</f>
        <v>74.25</v>
      </c>
      <c r="N940" t="str">
        <f t="shared" si="28"/>
        <v>Excelsa</v>
      </c>
      <c r="O940" t="str">
        <f t="shared" si="29"/>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L941*orders!E941</f>
        <v>28.53</v>
      </c>
      <c r="N941" t="str">
        <f t="shared" si="28"/>
        <v>Liberica</v>
      </c>
      <c r="O941" t="str">
        <f t="shared" si="29"/>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L942*orders!E942</f>
        <v>14.339999999999998</v>
      </c>
      <c r="N942" t="str">
        <f t="shared" si="28"/>
        <v>Robusta</v>
      </c>
      <c r="O942" t="str">
        <f t="shared" si="29"/>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L943*orders!E943</f>
        <v>15.54</v>
      </c>
      <c r="N943" t="str">
        <f t="shared" si="28"/>
        <v>Arabica</v>
      </c>
      <c r="O943" t="str">
        <f t="shared" si="29"/>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L944*orders!E944</f>
        <v>35.849999999999994</v>
      </c>
      <c r="N944" t="str">
        <f t="shared" si="28"/>
        <v>Robusta</v>
      </c>
      <c r="O944" t="str">
        <f t="shared" si="29"/>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L945*orders!E945</f>
        <v>46.62</v>
      </c>
      <c r="N945" t="str">
        <f t="shared" si="28"/>
        <v>Arabica</v>
      </c>
      <c r="O945" t="str">
        <f t="shared" si="29"/>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L946*orders!E946</f>
        <v>35.849999999999994</v>
      </c>
      <c r="N946" t="str">
        <f t="shared" si="28"/>
        <v>Robusta</v>
      </c>
      <c r="O946" t="str">
        <f t="shared" si="29"/>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L947*orders!E947</f>
        <v>119.13999999999999</v>
      </c>
      <c r="N947" t="str">
        <f t="shared" si="28"/>
        <v>Liberica</v>
      </c>
      <c r="O947" t="str">
        <f t="shared" si="29"/>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L948*orders!E948</f>
        <v>23.31</v>
      </c>
      <c r="N948" t="str">
        <f t="shared" si="28"/>
        <v>Liberica</v>
      </c>
      <c r="O948" t="str">
        <f t="shared" si="29"/>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L949*orders!E949</f>
        <v>11.25</v>
      </c>
      <c r="N949" t="str">
        <f t="shared" si="28"/>
        <v>Arabica</v>
      </c>
      <c r="O949" t="str">
        <f t="shared" si="29"/>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L950*orders!E950</f>
        <v>83.835000000000008</v>
      </c>
      <c r="N950" t="str">
        <f t="shared" si="28"/>
        <v>Excelsa</v>
      </c>
      <c r="O950" t="str">
        <f t="shared" si="29"/>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L951*orders!E951</f>
        <v>109.93999999999998</v>
      </c>
      <c r="N951" t="str">
        <f t="shared" si="28"/>
        <v>Robusta</v>
      </c>
      <c r="O951" t="str">
        <f t="shared" si="29"/>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L952*orders!E952</f>
        <v>14.339999999999998</v>
      </c>
      <c r="N952" t="str">
        <f t="shared" si="28"/>
        <v>Robusta</v>
      </c>
      <c r="O952" t="str">
        <f t="shared" si="29"/>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L953*orders!E953</f>
        <v>21.509999999999998</v>
      </c>
      <c r="N953" t="str">
        <f t="shared" si="28"/>
        <v>Robusta</v>
      </c>
      <c r="O953" t="str">
        <f t="shared" si="29"/>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L954*orders!E954</f>
        <v>22.5</v>
      </c>
      <c r="N954" t="str">
        <f t="shared" si="28"/>
        <v>Arabica</v>
      </c>
      <c r="O954" t="str">
        <f t="shared" si="29"/>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L955*orders!E955</f>
        <v>3.8849999999999998</v>
      </c>
      <c r="N955" t="str">
        <f t="shared" si="28"/>
        <v>Arabica</v>
      </c>
      <c r="O955" t="str">
        <f t="shared" si="29"/>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L956*orders!E956</f>
        <v>27.945</v>
      </c>
      <c r="N956" t="str">
        <f t="shared" si="28"/>
        <v>Excelsa</v>
      </c>
      <c r="O956" t="str">
        <f t="shared" si="29"/>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L957*orders!E957</f>
        <v>170.77499999999998</v>
      </c>
      <c r="N957" t="str">
        <f t="shared" si="28"/>
        <v>Excelsa</v>
      </c>
      <c r="O957" t="str">
        <f t="shared" si="29"/>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L958*orders!E958</f>
        <v>54.969999999999992</v>
      </c>
      <c r="N958" t="str">
        <f t="shared" si="28"/>
        <v>Robusta</v>
      </c>
      <c r="O958" t="str">
        <f t="shared" si="29"/>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L959*orders!E959</f>
        <v>14.85</v>
      </c>
      <c r="N959" t="str">
        <f t="shared" si="28"/>
        <v>Excelsa</v>
      </c>
      <c r="O959" t="str">
        <f t="shared" si="29"/>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L960*orders!E960</f>
        <v>7.77</v>
      </c>
      <c r="N960" t="str">
        <f t="shared" si="28"/>
        <v>Arabica</v>
      </c>
      <c r="O960" t="str">
        <f t="shared" si="29"/>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L961*orders!E961</f>
        <v>23.774999999999999</v>
      </c>
      <c r="N961" t="str">
        <f t="shared" si="28"/>
        <v>Liberica</v>
      </c>
      <c r="O961" t="str">
        <f t="shared" si="29"/>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L962*orders!E962</f>
        <v>79.25</v>
      </c>
      <c r="N962" t="str">
        <f t="shared" si="28"/>
        <v>Liberica</v>
      </c>
      <c r="O962" t="str">
        <f t="shared" si="29"/>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L963*orders!E963</f>
        <v>45.769999999999996</v>
      </c>
      <c r="N963" t="str">
        <f t="shared" ref="N963:N1001" si="30">IF(I963="Rob","Robusta",IF(I963="Exc","Excelsa",IF(I963="Ara","Arabica",IF(I963="Lib","Liberica",""))))</f>
        <v>Arabica</v>
      </c>
      <c r="O963" t="str">
        <f t="shared" ref="O963:O1001" si="31">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L964*orders!E964</f>
        <v>8.9499999999999993</v>
      </c>
      <c r="N964" t="str">
        <f t="shared" si="30"/>
        <v>Robusta</v>
      </c>
      <c r="O964" t="str">
        <f t="shared" si="31"/>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L965*orders!E965</f>
        <v>23.88</v>
      </c>
      <c r="N965" t="str">
        <f t="shared" si="30"/>
        <v>Robusta</v>
      </c>
      <c r="O965" t="str">
        <f t="shared" si="31"/>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L966*orders!E966</f>
        <v>22.274999999999999</v>
      </c>
      <c r="N966" t="str">
        <f t="shared" si="30"/>
        <v>Excelsa</v>
      </c>
      <c r="O966" t="str">
        <f t="shared" si="31"/>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L967*orders!E967</f>
        <v>29.849999999999998</v>
      </c>
      <c r="N967" t="str">
        <f t="shared" si="30"/>
        <v>Robusta</v>
      </c>
      <c r="O967" t="str">
        <f t="shared" si="31"/>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L968*orders!E968</f>
        <v>53.46</v>
      </c>
      <c r="N968" t="str">
        <f t="shared" si="30"/>
        <v>Excelsa</v>
      </c>
      <c r="O968" t="str">
        <f t="shared" si="31"/>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L969*orders!E969</f>
        <v>2.6849999999999996</v>
      </c>
      <c r="N969" t="str">
        <f t="shared" si="30"/>
        <v>Robusta</v>
      </c>
      <c r="O969" t="str">
        <f t="shared" si="31"/>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L970*orders!E970</f>
        <v>5.97</v>
      </c>
      <c r="N970" t="str">
        <f t="shared" si="30"/>
        <v>Robusta</v>
      </c>
      <c r="O970" t="str">
        <f t="shared" si="31"/>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L971*orders!E971</f>
        <v>12.95</v>
      </c>
      <c r="N971" t="str">
        <f t="shared" si="30"/>
        <v>Liberica</v>
      </c>
      <c r="O971" t="str">
        <f t="shared" si="31"/>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L972*orders!E972</f>
        <v>8.25</v>
      </c>
      <c r="N972" t="str">
        <f t="shared" si="30"/>
        <v>Excelsa</v>
      </c>
      <c r="O972" t="str">
        <f t="shared" si="31"/>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L973*orders!E973</f>
        <v>148.92499999999998</v>
      </c>
      <c r="N973" t="str">
        <f t="shared" si="30"/>
        <v>Arabica</v>
      </c>
      <c r="O973" t="str">
        <f t="shared" si="31"/>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L974*orders!E974</f>
        <v>89.35499999999999</v>
      </c>
      <c r="N974" t="str">
        <f t="shared" si="30"/>
        <v>Arabica</v>
      </c>
      <c r="O974" t="str">
        <f t="shared" si="31"/>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L975*orders!E975</f>
        <v>87.300000000000011</v>
      </c>
      <c r="N975" t="str">
        <f t="shared" si="30"/>
        <v>Liberica</v>
      </c>
      <c r="O975" t="str">
        <f t="shared" si="31"/>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L976*orders!E976</f>
        <v>5.3699999999999992</v>
      </c>
      <c r="N976" t="str">
        <f t="shared" si="30"/>
        <v>Robusta</v>
      </c>
      <c r="O976" t="str">
        <f t="shared" si="31"/>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L977*orders!E977</f>
        <v>8.9550000000000001</v>
      </c>
      <c r="N977" t="str">
        <f t="shared" si="30"/>
        <v>Arabica</v>
      </c>
      <c r="O977" t="str">
        <f t="shared" si="31"/>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L978*orders!E978</f>
        <v>137.42499999999998</v>
      </c>
      <c r="N978" t="str">
        <f t="shared" si="30"/>
        <v>Robusta</v>
      </c>
      <c r="O978" t="str">
        <f t="shared" si="31"/>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L979*orders!E979</f>
        <v>59.75</v>
      </c>
      <c r="N979" t="str">
        <f t="shared" si="30"/>
        <v>Robusta</v>
      </c>
      <c r="O979" t="str">
        <f t="shared" si="31"/>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L980*orders!E980</f>
        <v>23.31</v>
      </c>
      <c r="N980" t="str">
        <f t="shared" si="30"/>
        <v>Arabica</v>
      </c>
      <c r="O980" t="str">
        <f t="shared" si="31"/>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L981*orders!E981</f>
        <v>10.739999999999998</v>
      </c>
      <c r="N981" t="str">
        <f t="shared" si="30"/>
        <v>Robusta</v>
      </c>
      <c r="O981" t="str">
        <f t="shared" si="31"/>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L982*orders!E982</f>
        <v>167.67000000000002</v>
      </c>
      <c r="N982" t="str">
        <f t="shared" si="30"/>
        <v>Excelsa</v>
      </c>
      <c r="O982" t="str">
        <f t="shared" si="31"/>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L983*orders!E983</f>
        <v>21.87</v>
      </c>
      <c r="N983" t="str">
        <f t="shared" si="30"/>
        <v>Excelsa</v>
      </c>
      <c r="O983" t="str">
        <f t="shared" si="31"/>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L984*orders!E984</f>
        <v>23.9</v>
      </c>
      <c r="N984" t="str">
        <f t="shared" si="30"/>
        <v>Robusta</v>
      </c>
      <c r="O984" t="str">
        <f t="shared" si="31"/>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L985*orders!E985</f>
        <v>6.75</v>
      </c>
      <c r="N985" t="str">
        <f t="shared" si="30"/>
        <v>Arabica</v>
      </c>
      <c r="O985" t="str">
        <f t="shared" si="31"/>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L986*orders!E986</f>
        <v>31.624999999999996</v>
      </c>
      <c r="N986" t="str">
        <f t="shared" si="30"/>
        <v>Excelsa</v>
      </c>
      <c r="O986" t="str">
        <f t="shared" si="31"/>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L987*orders!E987</f>
        <v>47.8</v>
      </c>
      <c r="N987" t="str">
        <f t="shared" si="30"/>
        <v>Robusta</v>
      </c>
      <c r="O987" t="str">
        <f t="shared" si="31"/>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L988*orders!E988</f>
        <v>33.464999999999996</v>
      </c>
      <c r="N988" t="str">
        <f t="shared" si="30"/>
        <v>Liberica</v>
      </c>
      <c r="O988" t="str">
        <f t="shared" si="31"/>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L989*orders!E989</f>
        <v>29.849999999999998</v>
      </c>
      <c r="N989" t="str">
        <f t="shared" si="30"/>
        <v>Arabica</v>
      </c>
      <c r="O989" t="str">
        <f t="shared" si="31"/>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L990*orders!E990</f>
        <v>29.849999999999998</v>
      </c>
      <c r="N990" t="str">
        <f t="shared" si="30"/>
        <v>Robusta</v>
      </c>
      <c r="O990" t="str">
        <f t="shared" si="31"/>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L991*orders!E991</f>
        <v>155.24999999999997</v>
      </c>
      <c r="N991" t="str">
        <f t="shared" si="30"/>
        <v>Arabica</v>
      </c>
      <c r="O991" t="str">
        <f t="shared" si="31"/>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L992*orders!E992</f>
        <v>18.225000000000001</v>
      </c>
      <c r="N992" t="str">
        <f t="shared" si="30"/>
        <v>Excelsa</v>
      </c>
      <c r="O992" t="str">
        <f t="shared" si="31"/>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L993*orders!E993</f>
        <v>15.54</v>
      </c>
      <c r="N993" t="str">
        <f t="shared" si="30"/>
        <v>Liberica</v>
      </c>
      <c r="O993" t="str">
        <f t="shared" si="31"/>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L994*orders!E994</f>
        <v>109.36499999999999</v>
      </c>
      <c r="N994" t="str">
        <f t="shared" si="30"/>
        <v>Liberica</v>
      </c>
      <c r="O994" t="str">
        <f t="shared" si="31"/>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L995*orders!E995</f>
        <v>77.699999999999989</v>
      </c>
      <c r="N995" t="str">
        <f t="shared" si="30"/>
        <v>Arabica</v>
      </c>
      <c r="O995" t="str">
        <f t="shared" si="31"/>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L996*orders!E996</f>
        <v>8.9550000000000001</v>
      </c>
      <c r="N996" t="str">
        <f t="shared" si="30"/>
        <v>Arabica</v>
      </c>
      <c r="O996" t="str">
        <f t="shared" si="31"/>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L997*orders!E997</f>
        <v>27.484999999999996</v>
      </c>
      <c r="N997" t="str">
        <f t="shared" si="30"/>
        <v>Robusta</v>
      </c>
      <c r="O997" t="str">
        <f t="shared" si="31"/>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L998*orders!E998</f>
        <v>29.849999999999998</v>
      </c>
      <c r="N998" t="str">
        <f t="shared" si="30"/>
        <v>Robusta</v>
      </c>
      <c r="O998" t="str">
        <f t="shared" si="31"/>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L999*orders!E999</f>
        <v>27</v>
      </c>
      <c r="N999" t="str">
        <f t="shared" si="30"/>
        <v>Arabica</v>
      </c>
      <c r="O999" t="str">
        <f t="shared" si="31"/>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L1000*orders!E1000</f>
        <v>9.9499999999999993</v>
      </c>
      <c r="N1000" t="str">
        <f t="shared" si="30"/>
        <v>Arabica</v>
      </c>
      <c r="O1000" t="str">
        <f t="shared" si="31"/>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L1001*orders!E1001</f>
        <v>12.375</v>
      </c>
      <c r="N1001" t="str">
        <f t="shared" si="30"/>
        <v>Excelsa</v>
      </c>
      <c r="O1001" t="str">
        <f t="shared" si="31"/>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1" workbookViewId="0">
      <selection activeCell="F2" sqref="F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Elena DE RENSIS</cp:lastModifiedBy>
  <cp:revision/>
  <dcterms:created xsi:type="dcterms:W3CDTF">2022-11-26T09:51:45Z</dcterms:created>
  <dcterms:modified xsi:type="dcterms:W3CDTF">2026-01-29T17:09:20Z</dcterms:modified>
  <cp:category/>
  <cp:contentStatus/>
</cp:coreProperties>
</file>